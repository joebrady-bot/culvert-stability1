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rtialFactors" sheetId="3" state="visible" r:id="rId3"/>
    <sheet xmlns:r="http://schemas.openxmlformats.org/officeDocument/2006/relationships" name="GlobalCalcs" sheetId="4" state="visible" r:id="rId4"/>
    <sheet xmlns:r="http://schemas.openxmlformats.org/officeDocument/2006/relationships" name="LM1" sheetId="5" state="visible" r:id="rId5"/>
    <sheet xmlns:r="http://schemas.openxmlformats.org/officeDocument/2006/relationships" name="LM3" sheetId="6" state="visible" r:id="rId6"/>
    <sheet xmlns:r="http://schemas.openxmlformats.org/officeDocument/2006/relationships" name="TableB4" sheetId="7" state="visible" r:id="rId7"/>
    <sheet xmlns:r="http://schemas.openxmlformats.org/officeDocument/2006/relationships" name="TableB5" sheetId="8" state="visible" r:id="rId8"/>
    <sheet xmlns:r="http://schemas.openxmlformats.org/officeDocument/2006/relationships" name="TableB6" sheetId="9" state="visible" r:id="rId9"/>
    <sheet xmlns:r="http://schemas.openxmlformats.org/officeDocument/2006/relationships" name="Assumptions" sheetId="10" state="visible" r:id="rId10"/>
  </sheets>
  <definedNames>
    <definedName name="B">'Inputs'!$B$4</definedName>
    <definedName name="H">'Inputs'!$B$5</definedName>
    <definedName name="t_w">'Inputs'!$B$6</definedName>
    <definedName name="t_s">'Inputs'!$B$7</definedName>
    <definedName name="L_L">'Inputs'!$B$8</definedName>
    <definedName name="gamma_concrete">'Inputs'!$B$9</definedName>
    <definedName name="h_wt">'Inputs'!$B$12</definedName>
    <definedName name="w_C">'Inputs'!$B$15</definedName>
    <definedName name="w_L">'Inputs'!$B$16</definedName>
    <definedName name="n_layers">'Inputs'!$B$19</definedName>
    <definedName name="t_1">Inputs!$B$21</definedName>
    <definedName name="gamma_1">Inputs!$C$21</definedName>
    <definedName name="t_2">Inputs!$B$22</definedName>
    <definedName name="gamma_2">Inputs!$C$22</definedName>
    <definedName name="t_3">Inputs!$B$23</definedName>
    <definedName name="gamma_3">Inputs!$C$23</definedName>
    <definedName name="layer_t_range">Inputs!$B$21:$B$23</definedName>
    <definedName name="phi_backfill">'Inputs'!$B$26</definedName>
    <definedName name="gamma_backfill">'Inputs'!$B$27</definedName>
    <definedName name="H_ob">'Inputs'!$B$28</definedName>
    <definedName name="phi_founding">'Inputs'!$B$29</definedName>
    <definedName name="gamma_founding">'Inputs'!$B$30</definedName>
    <definedName name="sv_vehicle">Inputs!$B$33</definedName>
    <definedName name="SelfWeight_sup_SLS">PartialFactors!$B$5</definedName>
    <definedName name="SelfWeight_sup_EQU">PartialFactors!$C$5</definedName>
    <definedName name="SelfWeight_sup_STR_GEO_Comb1">PartialFactors!$D$5</definedName>
    <definedName name="SelfWeight_sup_STR_GEO_Comb2">PartialFactors!$E$5</definedName>
    <definedName name="Superimposed_sup_SLS">PartialFactors!$B$6</definedName>
    <definedName name="Superimposed_sup_EQU">PartialFactors!$C$6</definedName>
    <definedName name="Superimposed_sup_STR_GEO_Comb1">PartialFactors!$D$6</definedName>
    <definedName name="Superimposed_sup_STR_GEO_Comb2">PartialFactors!$E$6</definedName>
    <definedName name="RoadTraffic_sup_SLS">PartialFactors!$B$7</definedName>
    <definedName name="RoadTraffic_sup_EQU">PartialFactors!$C$7</definedName>
    <definedName name="RoadTraffic_sup_STR_GEO_Comb1">PartialFactors!$D$7</definedName>
    <definedName name="RoadTraffic_sup_STR_GEO_Comb2">PartialFactors!$E$7</definedName>
    <definedName name="MaterialM_SLS">PartialFactors!$B$8</definedName>
    <definedName name="MaterialM_EQU">PartialFactors!$C$8</definedName>
    <definedName name="MaterialM_STR_GEO_Comb1">PartialFactors!$D$8</definedName>
    <definedName name="MaterialM_STR_GEO_Comb2">PartialFactors!$E$8</definedName>
    <definedName name="WaterPressure_sup_SLS">PartialFactors!$B$9</definedName>
    <definedName name="WaterPressure_sup_EQU">PartialFactors!$C$9</definedName>
    <definedName name="WaterPressure_sup_STR_GEO_Comb1">PartialFactors!$D$9</definedName>
    <definedName name="WaterPressure_sup_STR_GEO_Comb2">PartialFactors!$E$9</definedName>
    <definedName name="SelfWeight_inf_SLS">PartialFactors!$B$13</definedName>
    <definedName name="SelfWeight_inf_EQU">PartialFactors!$C$13</definedName>
    <definedName name="SelfWeight_inf_STR_GEO_Comb1">PartialFactors!$D$13</definedName>
    <definedName name="SelfWeight_inf_STR_GEO_Comb2">PartialFactors!$E$13</definedName>
    <definedName name="Superimposed_inf_SLS">PartialFactors!$B$14</definedName>
    <definedName name="Superimposed_inf_EQU">PartialFactors!$C$14</definedName>
    <definedName name="Superimposed_inf_STR_GEO_Comb1">PartialFactors!$D$14</definedName>
    <definedName name="Superimposed_inf_STR_GEO_Comb2">PartialFactors!$E$14</definedName>
    <definedName name="road_dev_unfav">'PartialFactors'!$B$16</definedName>
    <definedName name="road_dev_fav">'PartialFactors'!$B$17</definedName>
    <definedName name="gamma_sd_ec">'PartialFactors'!$B$18</definedName>
    <definedName name="gamma_w">'PartialFactors'!$B$19</definedName>
    <definedName name="Ka_traffic_SLS">PartialFactors!$B$23</definedName>
    <definedName name="Ka_traffic_EQU">PartialFactors!$C$23</definedName>
    <definedName name="Ka_traffic_STR_GEO_Comb1">PartialFactors!$D$23</definedName>
    <definedName name="Ka_traffic_STR_GEO_Comb2">PartialFactors!$E$23</definedName>
    <definedName name="Ka_earth_SLS">PartialFactors!$B$24</definedName>
    <definedName name="Ka_earth_EQU">PartialFactors!$C$24</definedName>
    <definedName name="Ka_earth_STR_GEO_Comb1">PartialFactors!$D$24</definedName>
    <definedName name="Ka_earth_STR_GEO_Comb2">PartialFactors!$E$24</definedName>
    <definedName name="Kmax_SLS">PartialFactors!$B$25</definedName>
    <definedName name="Kmax_EQU">PartialFactors!$C$25</definedName>
    <definedName name="Kmax_STR_GEO_Comb1">PartialFactors!$D$25</definedName>
    <definedName name="Kmax_STR_GEO_Comb2">PartialFactors!$E$25</definedName>
    <definedName name="B_ext">'GlobalCalcs'!$B$4</definedName>
    <definedName name="H_ext">'GlobalCalcs'!$B$5</definedName>
    <definedName name="A_conc">'GlobalCalcs'!$B$6</definedName>
    <definedName name="W_box">'GlobalCalcs'!$B$7</definedName>
    <definedName name="UDL_1">'GlobalCalcs'!$C$11</definedName>
    <definedName name="UDL_2">'GlobalCalcs'!$C$12</definedName>
    <definedName name="UDL_3">'GlobalCalcs'!$C$13</definedName>
    <definedName name="UDL_total">'GlobalCalcs'!$B$14</definedName>
    <definedName name="H_c">'GlobalCalcs'!$B$17</definedName>
    <definedName name="reduction_factor">'GlobalCalcs'!$B$18</definedName>
    <definedName name="F_hll_1m_coeff">'GlobalCalcs'!$B$19</definedName>
    <definedName name="n_lanes">'LM1'!$B$4</definedName>
    <definedName name="notional_lane_width">'LM1'!$B$5</definedName>
    <definedName name="lane1_udl">'LM1'!$E$10</definedName>
    <definedName name="lane1_ts">'LM1'!$F$10</definedName>
    <definedName name="lane2_udl">'LM1'!$E$11</definedName>
    <definedName name="lane2_ts">'LM1'!$F$11</definedName>
    <definedName name="lane3_udl">'LM1'!$E$12</definedName>
    <definedName name="lane3_ts">'LM1'!$F$12</definedName>
    <definedName name="contact_patch">'LM1'!$B$15</definedName>
    <definedName name="tan_30">'LM1'!$B$16</definedName>
    <definedName name="disp_m">'LM1'!$B$18</definedName>
    <definedName name="F_transverse_1m">'LM1'!$B$25</definedName>
    <definedName name="patch_load">'LM1'!$B$28</definedName>
    <definedName name="Q_lk">'LM1'!$B$36</definedName>
    <definedName name="sv_contact_t">'LM3'!$B$4</definedName>
    <definedName name="sv_contact_l">'LM3'!$B$5</definedName>
    <definedName name="sv_wheel_spacing">'LM3'!$B$6</definedName>
    <definedName name="lm3_tan_30">'LM3'!$B$7</definedName>
    <definedName name="disp_LL">'LM3'!$B$10</definedName>
    <definedName name="disp_B">'LM3'!$B$11</definedName>
    <definedName name="half_B">'LM3'!$B$12</definedName>
    <definedName name="sv80_max">'LM3'!$B$126</definedName>
    <definedName name="sv100_max">'LM3'!$B$240</definedName>
    <definedName name="sv196_max">'LM3'!$B$444</definedName>
    <definedName name="max_V_per_m">'LM3'!$B$447</definedName>
    <definedName name="total_braking">'LM3'!$B$453</definedName>
    <definedName name="Q_brk_per_m">'LM3'!$B$454</definedName>
    <definedName name="max_friction">'LM3'!$B$456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</font>
    <font>
      <i val="1"/>
      <color rgb="00808080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2" fontId="0" fillId="4" borderId="1" pivotButton="0" quotePrefix="0" xfId="0"/>
    <xf numFmtId="1" fontId="0" fillId="4" borderId="1" pivotButton="0" quotePrefix="0" xfId="0"/>
    <xf numFmtId="0" fontId="3" fillId="0" borderId="0" pivotButton="0" quotePrefix="0" xfId="0"/>
    <xf numFmtId="164" fontId="0" fillId="4" borderId="1" pivotButton="0" quotePrefix="0" xfId="0"/>
    <xf numFmtId="0" fontId="0" fillId="4" borderId="1" pivotButton="0" quotePrefix="0" xfId="0"/>
    <xf numFmtId="0" fontId="4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1:F35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4" customWidth="1" min="3" max="3"/>
  </cols>
  <sheetData>
    <row r="1" ht="20" customHeight="1">
      <c r="A1" s="1" t="inlineStr">
        <is>
          <t>Culvert Stability — Inputs</t>
        </is>
      </c>
      <c r="B1" s="2" t="n"/>
      <c r="C1" s="2" t="n"/>
      <c r="D1" s="2" t="n"/>
      <c r="E1" s="2" t="n"/>
      <c r="F1" s="2" t="n"/>
    </row>
    <row r="3">
      <c r="A3" s="3" t="inlineStr">
        <is>
          <t>Culvert Geometry</t>
        </is>
      </c>
      <c r="B3" s="4" t="n"/>
      <c r="C3" s="4" t="n"/>
      <c r="D3" s="4" t="n"/>
      <c r="E3" s="4" t="n"/>
      <c r="F3" s="4" t="n"/>
    </row>
    <row r="4">
      <c r="A4" t="inlineStr">
        <is>
          <t>Internal Width, B (m)</t>
        </is>
      </c>
      <c r="B4" s="5" t="n">
        <v>2.5</v>
      </c>
    </row>
    <row r="5">
      <c r="A5" t="inlineStr">
        <is>
          <t>Internal Height, H (m)</t>
        </is>
      </c>
      <c r="B5" s="5" t="n">
        <v>2</v>
      </c>
    </row>
    <row r="6">
      <c r="A6" t="inlineStr">
        <is>
          <t>Wall Thickness, t_w (m)</t>
        </is>
      </c>
      <c r="B6" s="5" t="n">
        <v>0.3</v>
      </c>
    </row>
    <row r="7">
      <c r="A7" t="inlineStr">
        <is>
          <t>Slab Thickness, t_s (m)</t>
        </is>
      </c>
      <c r="B7" s="5" t="n">
        <v>0.3</v>
      </c>
    </row>
    <row r="8">
      <c r="A8" t="inlineStr">
        <is>
          <t>Overall Length, L_L (m)</t>
        </is>
      </c>
      <c r="B8" s="5" t="n">
        <v>20.6</v>
      </c>
    </row>
    <row r="9">
      <c r="A9" t="inlineStr">
        <is>
          <t>Concrete Density, gamma_concrete (kN/m3)</t>
        </is>
      </c>
      <c r="B9" s="5" t="n">
        <v>25</v>
      </c>
    </row>
    <row r="11">
      <c r="A11" s="3" t="inlineStr">
        <is>
          <t>Water Table</t>
        </is>
      </c>
      <c r="B11" s="4" t="n"/>
      <c r="C11" s="4" t="n"/>
      <c r="D11" s="4" t="n"/>
      <c r="E11" s="4" t="n"/>
      <c r="F11" s="4" t="n"/>
    </row>
    <row r="12">
      <c r="A12" t="inlineStr">
        <is>
          <t>Water Table, h_wt (m) — height above culvert invert</t>
        </is>
      </c>
      <c r="B12" s="5" t="n">
        <v>0</v>
      </c>
    </row>
    <row r="14">
      <c r="A14" s="3" t="inlineStr">
        <is>
          <t>Road Geometry</t>
        </is>
      </c>
      <c r="B14" s="4" t="n"/>
      <c r="C14" s="4" t="n"/>
      <c r="D14" s="4" t="n"/>
      <c r="E14" s="4" t="n"/>
      <c r="F14" s="4" t="n"/>
    </row>
    <row r="15">
      <c r="A15" t="inlineStr">
        <is>
          <t>Carriageway Width, w_C (m)</t>
        </is>
      </c>
      <c r="B15" s="5" t="n">
        <v>7.3</v>
      </c>
    </row>
    <row r="16">
      <c r="A16" t="inlineStr">
        <is>
          <t>Lane Width, w_L (m)</t>
        </is>
      </c>
      <c r="B16" s="5" t="n">
        <v>3.65</v>
      </c>
    </row>
    <row r="18">
      <c r="A18" s="3" t="inlineStr">
        <is>
          <t>Cover Layers (top to bottom, up to 3)</t>
        </is>
      </c>
      <c r="B18" s="4" t="n"/>
      <c r="C18" s="4" t="n"/>
      <c r="D18" s="4" t="n"/>
      <c r="E18" s="4" t="n"/>
      <c r="F18" s="4" t="n"/>
    </row>
    <row r="19">
      <c r="A19" t="inlineStr">
        <is>
          <t>Number of cover layers (1-3)</t>
        </is>
      </c>
      <c r="B19" s="6" t="n">
        <v>3</v>
      </c>
    </row>
    <row r="20">
      <c r="A20" s="7" t="inlineStr">
        <is>
          <t>Layer</t>
        </is>
      </c>
      <c r="B20" s="7" t="inlineStr">
        <is>
          <t>Thickness t_i (mm)</t>
        </is>
      </c>
      <c r="C20" s="7" t="inlineStr">
        <is>
          <t>Unit Weight gamma_i (kN/m3)</t>
        </is>
      </c>
    </row>
    <row r="21">
      <c r="A21" t="inlineStr">
        <is>
          <t>Layer 1</t>
        </is>
      </c>
      <c r="B21" s="8" t="n">
        <v>200</v>
      </c>
      <c r="C21" s="5" t="n">
        <v>24</v>
      </c>
    </row>
    <row r="22">
      <c r="A22" t="inlineStr">
        <is>
          <t>Layer 2</t>
        </is>
      </c>
      <c r="B22" s="8" t="n">
        <v>500</v>
      </c>
      <c r="C22" s="5" t="n">
        <v>19</v>
      </c>
    </row>
    <row r="23">
      <c r="A23" t="inlineStr">
        <is>
          <t>Layer 3</t>
        </is>
      </c>
      <c r="B23" s="8" t="n">
        <v>300</v>
      </c>
      <c r="C23" s="5" t="n">
        <v>20</v>
      </c>
    </row>
    <row r="25">
      <c r="A25" s="3" t="inlineStr">
        <is>
          <t>Soil Properties</t>
        </is>
      </c>
      <c r="B25" s="4" t="n"/>
      <c r="C25" s="4" t="n"/>
      <c r="D25" s="4" t="n"/>
      <c r="E25" s="4" t="n"/>
      <c r="F25" s="4" t="n"/>
    </row>
    <row r="26">
      <c r="A26" t="inlineStr">
        <is>
          <t>Backfill Friction Angle, phi_backfill (deg)</t>
        </is>
      </c>
      <c r="B26" s="5" t="n">
        <v>30</v>
      </c>
    </row>
    <row r="27">
      <c r="A27" t="inlineStr">
        <is>
          <t>Backfill Density, gamma_backfill (kN/m3)</t>
        </is>
      </c>
      <c r="B27" s="5" t="n">
        <v>19</v>
      </c>
    </row>
    <row r="28">
      <c r="A28" t="inlineStr">
        <is>
          <t>Overburden Depth, H_ob (m)</t>
        </is>
      </c>
      <c r="B28" s="5" t="n">
        <v>0.6</v>
      </c>
    </row>
    <row r="29">
      <c r="A29" t="inlineStr">
        <is>
          <t>Founding Friction Angle, phi_founding (deg)</t>
        </is>
      </c>
      <c r="B29" s="5" t="n">
        <v>32</v>
      </c>
    </row>
    <row r="30">
      <c r="A30" t="inlineStr">
        <is>
          <t>Founding Density, gamma_founding (kN/m3)</t>
        </is>
      </c>
      <c r="B30" s="5" t="n">
        <v>19</v>
      </c>
    </row>
    <row r="32">
      <c r="A32" s="3" t="inlineStr">
        <is>
          <t>LM3 Vehicle Type</t>
        </is>
      </c>
      <c r="B32" s="4" t="n"/>
      <c r="C32" s="4" t="n"/>
      <c r="D32" s="4" t="n"/>
      <c r="E32" s="4" t="n"/>
      <c r="F32" s="4" t="n"/>
    </row>
    <row r="33">
      <c r="A33" t="inlineStr">
        <is>
          <t>SV Vehicle (SV80 / SV100 / SV196)</t>
        </is>
      </c>
      <c r="B33" s="9" t="inlineStr">
        <is>
          <t>SV196</t>
        </is>
      </c>
    </row>
    <row r="35">
      <c r="A35" s="10" t="inlineStr">
        <is>
          <t>Yellow cells are inputs — edit these. Everything else recalculates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F13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</cols>
  <sheetData>
    <row r="1" ht="20" customHeight="1">
      <c r="A1" s="1" t="inlineStr">
        <is>
          <t>Summary — Governing Utilisation</t>
        </is>
      </c>
      <c r="B1" s="2" t="n"/>
      <c r="C1" s="2" t="n"/>
      <c r="D1" s="2" t="n"/>
      <c r="E1" s="2" t="n"/>
      <c r="F1" s="2" t="n"/>
    </row>
    <row r="3">
      <c r="A3" s="10" t="inlineStr">
        <is>
          <t>Highest utilisation (%) across all four limit states and both LM1/LM3, per table.</t>
        </is>
      </c>
    </row>
    <row r="5">
      <c r="A5" s="7" t="inlineStr">
        <is>
          <t>Check</t>
        </is>
      </c>
      <c r="B5" s="7" t="inlineStr">
        <is>
          <t>Utilisation (%)</t>
        </is>
      </c>
      <c r="C5" s="7" t="inlineStr">
        <is>
          <t>Status</t>
        </is>
      </c>
    </row>
    <row r="6">
      <c r="A6" t="inlineStr">
        <is>
          <t>Table B.4 — Sliding</t>
        </is>
      </c>
      <c r="B6" s="11">
        <f>MAX('TableB4'!B35,'TableB4'!B57,'TableB4'!B98,'TableB4'!B120,'TableB4'!B161,'TableB4'!B183,'TableB4'!B224,'TableB4'!B246)</f>
        <v/>
      </c>
      <c r="C6">
        <f>IF(B6&lt;=100,"OK","Review required")</f>
        <v/>
      </c>
    </row>
    <row r="7">
      <c r="A7" t="inlineStr">
        <is>
          <t>Table B.4 — Overturning</t>
        </is>
      </c>
      <c r="B7" s="11">
        <f>MAX('TableB4'!B42,'TableB4'!B64,'TableB4'!B105,'TableB4'!B127,'TableB4'!B168,'TableB4'!B190,'TableB4'!B231,'TableB4'!B253)</f>
        <v/>
      </c>
      <c r="C7">
        <f>IF(B7&lt;=100,"OK","Review required")</f>
        <v/>
      </c>
    </row>
    <row r="8">
      <c r="A8" t="inlineStr">
        <is>
          <t>Table B.5 — Sliding</t>
        </is>
      </c>
      <c r="B8" s="11">
        <f>MAX('TableB5'!B35,'TableB5'!B57,'TableB5'!B98,'TableB5'!B120,'TableB5'!B161,'TableB5'!B183,'TableB5'!B224,'TableB5'!B246)</f>
        <v/>
      </c>
      <c r="C8">
        <f>IF(B8&lt;=100,"OK","Review required")</f>
        <v/>
      </c>
    </row>
    <row r="9">
      <c r="A9" t="inlineStr">
        <is>
          <t>Table B.5 — Overturning</t>
        </is>
      </c>
      <c r="B9" s="11">
        <f>MAX('TableB5'!B42,'TableB5'!B64,'TableB5'!B105,'TableB5'!B127,'TableB5'!B168,'TableB5'!B190,'TableB5'!B231,'TableB5'!B253)</f>
        <v/>
      </c>
      <c r="C9">
        <f>IF(B9&lt;=100,"OK","Review required")</f>
        <v/>
      </c>
    </row>
    <row r="10">
      <c r="A10" t="inlineStr">
        <is>
          <t>Table B.6 — Sliding</t>
        </is>
      </c>
      <c r="B10" s="11">
        <f>MAX('TableB6'!B40,'TableB6'!B62,'TableB6'!B104,'TableB6'!B126,'TableB6'!B168,'TableB6'!B190,'TableB6'!B232,'TableB6'!B254)</f>
        <v/>
      </c>
      <c r="C10">
        <f>IF(B10&lt;=100,"OK","Review required")</f>
        <v/>
      </c>
    </row>
    <row r="11">
      <c r="A11" t="inlineStr">
        <is>
          <t>Table B.6 — Overturning</t>
        </is>
      </c>
      <c r="B11" s="11">
        <f>MAX('TableB6'!B47,'TableB6'!B69,'TableB6'!B111,'TableB6'!B133,'TableB6'!B175,'TableB6'!B197,'TableB6'!B239,'TableB6'!B261)</f>
        <v/>
      </c>
      <c r="C11">
        <f>IF(B11&lt;=100,"OK","Review required")</f>
        <v/>
      </c>
    </row>
    <row r="13">
      <c r="A13" s="10" t="inlineStr">
        <is>
          <t>Conditional formatting: green if &lt;= 100%, red if &gt; 100%.</t>
        </is>
      </c>
    </row>
  </sheetData>
  <conditionalFormatting sqref="B6:B17">
    <cfRule type="cellIs" priority="1" operator="lessThanOrEqual" dxfId="0">
      <formula>100</formula>
    </cfRule>
    <cfRule type="cellIs" priority="2" operator="greaterThan" dxfId="1">
      <formula>100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A9DB"/>
    <outlinePr summaryBelow="1" summaryRight="1"/>
    <pageSetUpPr/>
  </sheetPr>
  <dimension ref="A1:F25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  <col width="16" customWidth="1" min="5" max="5"/>
  </cols>
  <sheetData>
    <row r="1" ht="20" customHeight="1">
      <c r="A1" s="1" t="inlineStr">
        <is>
          <t>UK NA to BS EN 1990 — Partial Factors gamma_F</t>
        </is>
      </c>
      <c r="B1" s="2" t="n"/>
      <c r="C1" s="2" t="n"/>
      <c r="D1" s="2" t="n"/>
      <c r="E1" s="2" t="n"/>
      <c r="F1" s="2" t="n"/>
    </row>
    <row r="3">
      <c r="A3" s="3" t="inlineStr">
        <is>
          <t>Unfavourable</t>
        </is>
      </c>
      <c r="B3" s="4" t="n"/>
      <c r="C3" s="4" t="n"/>
      <c r="D3" s="4" t="n"/>
      <c r="E3" s="4" t="n"/>
      <c r="F3" s="4" t="n"/>
    </row>
    <row r="4">
      <c r="A4" t="inlineStr">
        <is>
          <t>Row</t>
        </is>
      </c>
      <c r="B4" s="7" t="inlineStr">
        <is>
          <t>SLS</t>
        </is>
      </c>
      <c r="C4" s="7" t="inlineStr">
        <is>
          <t>EQU</t>
        </is>
      </c>
      <c r="D4" s="7" t="inlineStr">
        <is>
          <t>STR/GEO Comb1</t>
        </is>
      </c>
      <c r="E4" s="7" t="inlineStr">
        <is>
          <t>STR/GEO Comb2</t>
        </is>
      </c>
    </row>
    <row r="5">
      <c r="A5" t="inlineStr">
        <is>
          <t>Self weight of structure &amp; backfill, gamma_G;sup</t>
        </is>
      </c>
      <c r="B5" s="12" t="n">
        <v>1</v>
      </c>
      <c r="C5" s="12" t="n">
        <v>1.05</v>
      </c>
      <c r="D5" s="12" t="n">
        <v>1.35</v>
      </c>
      <c r="E5" s="12" t="n">
        <v>1</v>
      </c>
    </row>
    <row r="6">
      <c r="A6" t="inlineStr">
        <is>
          <t>Superimposed permanent load, gamma_G;sup</t>
        </is>
      </c>
      <c r="B6" s="12" t="n">
        <v>1</v>
      </c>
      <c r="C6" s="12" t="n">
        <v>1.05</v>
      </c>
      <c r="D6" s="12" t="n">
        <v>1.2</v>
      </c>
      <c r="E6" s="12" t="n">
        <v>1</v>
      </c>
    </row>
    <row r="7">
      <c r="A7" t="inlineStr">
        <is>
          <t>Road traffic action on box, gamma_Q;sup</t>
        </is>
      </c>
      <c r="B7" s="12" t="n">
        <v>1</v>
      </c>
      <c r="C7" s="12" t="n">
        <v>1.35</v>
      </c>
      <c r="D7" s="12" t="n">
        <v>1.35</v>
      </c>
      <c r="E7" s="12" t="n">
        <v>1.15</v>
      </c>
    </row>
    <row r="8">
      <c r="A8" t="inlineStr">
        <is>
          <t>Material factor to phi', gamma_M</t>
        </is>
      </c>
      <c r="B8" s="12" t="n">
        <v>1</v>
      </c>
      <c r="C8" s="12" t="n">
        <v>1.1</v>
      </c>
      <c r="D8" s="12" t="n">
        <v>1</v>
      </c>
      <c r="E8" s="12" t="n">
        <v>1.25</v>
      </c>
    </row>
    <row r="9">
      <c r="A9" t="inlineStr">
        <is>
          <t>Vertical and horizontal water pressures, gamma_G;sup</t>
        </is>
      </c>
      <c r="B9" s="12" t="n">
        <v>0</v>
      </c>
      <c r="C9" s="12" t="n">
        <v>1</v>
      </c>
      <c r="D9" s="12" t="n">
        <v>1</v>
      </c>
      <c r="E9" s="12" t="n">
        <v>1</v>
      </c>
    </row>
    <row r="11">
      <c r="A11" s="3" t="inlineStr">
        <is>
          <t>Favourable</t>
        </is>
      </c>
      <c r="B11" s="4" t="n"/>
      <c r="C11" s="4" t="n"/>
      <c r="D11" s="4" t="n"/>
      <c r="E11" s="4" t="n"/>
      <c r="F11" s="4" t="n"/>
    </row>
    <row r="12">
      <c r="A12" t="inlineStr">
        <is>
          <t>Row</t>
        </is>
      </c>
      <c r="B12" s="7" t="inlineStr">
        <is>
          <t>SLS</t>
        </is>
      </c>
      <c r="C12" s="7" t="inlineStr">
        <is>
          <t>EQU</t>
        </is>
      </c>
      <c r="D12" s="7" t="inlineStr">
        <is>
          <t>STR/GEO Comb1</t>
        </is>
      </c>
      <c r="E12" s="7" t="inlineStr">
        <is>
          <t>STR/GEO Comb2</t>
        </is>
      </c>
    </row>
    <row r="13">
      <c r="A13" t="inlineStr">
        <is>
          <t>Self weight of structure &amp; backfill, gamma_G;inf</t>
        </is>
      </c>
      <c r="B13" s="12" t="n">
        <v>1</v>
      </c>
      <c r="C13" s="12" t="n">
        <v>0.95</v>
      </c>
      <c r="D13" s="12" t="n">
        <v>0.95</v>
      </c>
      <c r="E13" s="12" t="n">
        <v>1</v>
      </c>
    </row>
    <row r="14">
      <c r="A14" t="inlineStr">
        <is>
          <t>Superimposed permanent load, gamma_G;inf</t>
        </is>
      </c>
      <c r="B14" s="12" t="n">
        <v>1</v>
      </c>
      <c r="C14" s="12" t="n">
        <v>0.95</v>
      </c>
      <c r="D14" s="12" t="n">
        <v>0.95</v>
      </c>
      <c r="E14" s="12" t="n">
        <v>1</v>
      </c>
    </row>
    <row r="16">
      <c r="A16" t="inlineStr">
        <is>
          <t>Road construction deviation, unfavourable (+55%)</t>
        </is>
      </c>
      <c r="B16" s="12" t="n">
        <v>1.55</v>
      </c>
    </row>
    <row r="17">
      <c r="A17" t="inlineStr">
        <is>
          <t>Road construction deviation, favourable (-40%)</t>
        </is>
      </c>
      <c r="B17" s="12" t="n">
        <v>0.6</v>
      </c>
    </row>
    <row r="18">
      <c r="A18" t="inlineStr">
        <is>
          <t>Model factor gamma_Sd;ec (Cl. 10.2.2)</t>
        </is>
      </c>
      <c r="B18" s="12" t="n">
        <v>1.15</v>
      </c>
    </row>
    <row r="19">
      <c r="A19" t="inlineStr">
        <is>
          <t>Water unit weight, gamma_w (kN/m3)</t>
        </is>
      </c>
      <c r="B19" s="12" t="n">
        <v>9.81</v>
      </c>
    </row>
    <row r="21">
      <c r="A21" s="3" t="inlineStr">
        <is>
          <t>Table B.4/B.5/B.6 — Earth Pressure Coefficients</t>
        </is>
      </c>
      <c r="B21" s="4" t="n"/>
      <c r="C21" s="4" t="n"/>
      <c r="D21" s="4" t="n"/>
      <c r="E21" s="4" t="n"/>
      <c r="F21" s="4" t="n"/>
    </row>
    <row r="22">
      <c r="A22" t="inlineStr">
        <is>
          <t>Combo</t>
        </is>
      </c>
      <c r="B22" s="7" t="inlineStr">
        <is>
          <t>SLS</t>
        </is>
      </c>
      <c r="C22" s="7" t="inlineStr">
        <is>
          <t>EQU</t>
        </is>
      </c>
      <c r="D22" s="7" t="inlineStr">
        <is>
          <t>STR/GEO Comb1</t>
        </is>
      </c>
      <c r="E22" s="7" t="inlineStr">
        <is>
          <t>STR/GEO Comb2</t>
        </is>
      </c>
    </row>
    <row r="23">
      <c r="A23" t="inlineStr">
        <is>
          <t>Ka_traffic</t>
        </is>
      </c>
      <c r="B23" s="12" t="n">
        <v>0.33</v>
      </c>
      <c r="C23" s="12" t="n">
        <v>0.37</v>
      </c>
      <c r="D23" s="12" t="n">
        <v>0.33</v>
      </c>
      <c r="E23" s="12" t="n">
        <v>0.41</v>
      </c>
    </row>
    <row r="24">
      <c r="A24" t="inlineStr">
        <is>
          <t>Ka_earth</t>
        </is>
      </c>
      <c r="B24" s="12" t="n">
        <v>0.33</v>
      </c>
      <c r="C24" s="12" t="n">
        <v>0.44</v>
      </c>
      <c r="D24" s="12" t="n">
        <v>0.4</v>
      </c>
      <c r="E24" s="12" t="n">
        <v>0.49</v>
      </c>
    </row>
    <row r="25">
      <c r="A25" t="inlineStr">
        <is>
          <t>Kmax</t>
        </is>
      </c>
      <c r="B25" s="12" t="n">
        <v>0.6</v>
      </c>
      <c r="C25" s="12" t="n">
        <v>0.6</v>
      </c>
      <c r="D25" s="12" t="n">
        <v>0.72</v>
      </c>
      <c r="E25" s="12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A9DB"/>
    <outlinePr summaryBelow="1" summaryRight="1"/>
    <pageSetUpPr/>
  </sheetPr>
  <dimension ref="A1:F21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30" customWidth="1" min="3" max="3"/>
  </cols>
  <sheetData>
    <row r="1" ht="20" customHeight="1">
      <c r="A1" s="1" t="inlineStr">
        <is>
          <t>Global Calculations</t>
        </is>
      </c>
      <c r="B1" s="2" t="n"/>
      <c r="C1" s="2" t="n"/>
      <c r="D1" s="2" t="n"/>
      <c r="E1" s="2" t="n"/>
      <c r="F1" s="2" t="n"/>
    </row>
    <row r="3">
      <c r="A3" s="3" t="inlineStr">
        <is>
          <t>Self-Weights (per 1 m length)</t>
        </is>
      </c>
      <c r="B3" s="4" t="n"/>
      <c r="C3" s="4" t="n"/>
      <c r="D3" s="4" t="n"/>
      <c r="E3" s="4" t="n"/>
      <c r="F3" s="4" t="n"/>
    </row>
    <row r="4">
      <c r="A4" t="inlineStr">
        <is>
          <t>B_ext = B + 2*t_w (m)</t>
        </is>
      </c>
      <c r="B4" s="13">
        <f>B+2*t_w</f>
        <v/>
      </c>
    </row>
    <row r="5">
      <c r="A5" t="inlineStr">
        <is>
          <t>H_ext = H + 2*t_s (m)</t>
        </is>
      </c>
      <c r="B5" s="13">
        <f>H+2*t_s</f>
        <v/>
      </c>
    </row>
    <row r="6">
      <c r="A6" t="inlineStr">
        <is>
          <t>A_conc = B_ext*H_ext - B*H (m2)</t>
        </is>
      </c>
      <c r="B6" s="13">
        <f>B_ext*H_ext-B*H</f>
        <v/>
      </c>
    </row>
    <row r="7">
      <c r="A7" t="inlineStr">
        <is>
          <t>W_box = A_conc * gamma_concrete (kN/m)</t>
        </is>
      </c>
      <c r="B7" s="12">
        <f>A_conc*gamma_concrete</f>
        <v/>
      </c>
    </row>
    <row r="9">
      <c r="A9" s="3" t="inlineStr">
        <is>
          <t>Cover Layer Self-Weights</t>
        </is>
      </c>
      <c r="B9" s="4" t="n"/>
      <c r="C9" s="4" t="n"/>
      <c r="D9" s="4" t="n"/>
      <c r="E9" s="4" t="n"/>
      <c r="F9" s="4" t="n"/>
    </row>
    <row r="10">
      <c r="A10" s="7" t="inlineStr">
        <is>
          <t>Layer</t>
        </is>
      </c>
      <c r="B10" s="7" t="inlineStr">
        <is>
          <t>Active?</t>
        </is>
      </c>
      <c r="C10" s="7" t="inlineStr">
        <is>
          <t>UDL_i = gamma_i*(t_i/1000) (kN/m)</t>
        </is>
      </c>
    </row>
    <row r="11">
      <c r="A11" t="inlineStr">
        <is>
          <t>Layer 1</t>
        </is>
      </c>
      <c r="B11">
        <f>1&lt;=n_layers</f>
        <v/>
      </c>
      <c r="C11" s="12">
        <f>IF(1&lt;=n_layers, gamma_1*(t_1/1000), 0)</f>
        <v/>
      </c>
    </row>
    <row r="12">
      <c r="A12" t="inlineStr">
        <is>
          <t>Layer 2</t>
        </is>
      </c>
      <c r="B12">
        <f>2&lt;=n_layers</f>
        <v/>
      </c>
      <c r="C12" s="12">
        <f>IF(2&lt;=n_layers, gamma_2*(t_2/1000), 0)</f>
        <v/>
      </c>
    </row>
    <row r="13">
      <c r="A13" t="inlineStr">
        <is>
          <t>Layer 3</t>
        </is>
      </c>
      <c r="B13">
        <f>3&lt;=n_layers</f>
        <v/>
      </c>
      <c r="C13" s="12">
        <f>IF(3&lt;=n_layers, gamma_3*(t_3/1000), 0)</f>
        <v/>
      </c>
    </row>
    <row r="14">
      <c r="A14" t="inlineStr">
        <is>
          <t>UDL_total (kN/m)</t>
        </is>
      </c>
      <c r="B14" s="12">
        <f>SUM(C11:C13)</f>
        <v/>
      </c>
    </row>
    <row r="16">
      <c r="A16" s="3" t="inlineStr">
        <is>
          <t>Horizontal Surcharge Model for LM1, LM2 &amp; LM3</t>
        </is>
      </c>
      <c r="B16" s="4" t="n"/>
      <c r="C16" s="4" t="n"/>
      <c r="D16" s="4" t="n"/>
      <c r="E16" s="4" t="n"/>
      <c r="F16" s="4" t="n"/>
    </row>
    <row r="17">
      <c r="A17" t="inlineStr">
        <is>
          <t>H_c = sum(active t_i)/1000 (m)</t>
        </is>
      </c>
      <c r="B17" s="13">
        <f>(t_1 + IF(n_layers&gt;=2,t_2,0) + IF(n_layers&gt;=3,t_3,0))/1000</f>
        <v/>
      </c>
    </row>
    <row r="18">
      <c r="A18" t="inlineStr">
        <is>
          <t>Reduction factor = (1-H_c/2)^2</t>
        </is>
      </c>
      <c r="B18" s="13">
        <f>(1-H_c/2)^2</f>
        <v/>
      </c>
    </row>
    <row r="19">
      <c r="A19" t="inlineStr">
        <is>
          <t>F_hll_1m_coeff = 2*reduction_factor*330/w_L (coeff. of Kd, kN)</t>
        </is>
      </c>
      <c r="B19" s="12">
        <f>2*reduction_factor*330/w_L</f>
        <v/>
      </c>
    </row>
    <row r="21">
      <c r="A21" s="10" t="inlineStr">
        <is>
          <t>F_hUDL_LM12 = 20*Kd kN/m2, F_hUDL_LM3 = 30*Kd kN/m2 (applied directly in Table B.4/5/6)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A9DB"/>
    <outlinePr summaryBelow="1" summaryRight="1"/>
    <pageSetUpPr/>
  </sheetPr>
  <dimension ref="A1:F36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0" customWidth="1" min="3" max="3"/>
    <col width="12" customWidth="1" min="4" max="4"/>
    <col width="14" customWidth="1" min="5" max="5"/>
    <col width="12" customWidth="1" min="6" max="6"/>
  </cols>
  <sheetData>
    <row r="1" ht="20" customHeight="1">
      <c r="A1" s="1" t="inlineStr">
        <is>
          <t>LM1 Calculations — Maximum Vertical Load &amp; Braking</t>
        </is>
      </c>
      <c r="B1" s="2" t="n"/>
      <c r="C1" s="2" t="n"/>
      <c r="D1" s="2" t="n"/>
      <c r="E1" s="2" t="n"/>
      <c r="F1" s="2" t="n"/>
    </row>
    <row r="3">
      <c r="A3" s="3" t="inlineStr">
        <is>
          <t>Notional Lanes</t>
        </is>
      </c>
      <c r="B3" s="4" t="n"/>
      <c r="C3" s="4" t="n"/>
      <c r="D3" s="4" t="n"/>
      <c r="E3" s="4" t="n"/>
      <c r="F3" s="4" t="n"/>
    </row>
    <row r="4">
      <c r="A4" t="inlineStr">
        <is>
          <t>n_lanes = INT(w_C / 3)</t>
        </is>
      </c>
      <c r="B4" s="14">
        <f>INT(w_C/3)</f>
        <v/>
      </c>
    </row>
    <row r="5">
      <c r="A5" t="inlineStr">
        <is>
          <t>Notional Lane Width (m)</t>
        </is>
      </c>
      <c r="B5" s="11" t="n">
        <v>3</v>
      </c>
    </row>
    <row r="6">
      <c r="A6" t="inlineStr">
        <is>
          <t>Remaining width = w_C - n_lanes*3 (m)</t>
        </is>
      </c>
      <c r="B6" s="12">
        <f>w_C-n_lanes*notional_lane_width</f>
        <v/>
      </c>
    </row>
    <row r="8">
      <c r="A8" s="3" t="inlineStr">
        <is>
          <t>UDL &amp; TS per Lane (BS EN 1991-2 Table 4.2, UK NA alpha factors)</t>
        </is>
      </c>
      <c r="B8" s="4" t="n"/>
      <c r="C8" s="4" t="n"/>
      <c r="D8" s="4" t="n"/>
      <c r="E8" s="4" t="n"/>
      <c r="F8" s="4" t="n"/>
    </row>
    <row r="9">
      <c r="A9" s="7" t="inlineStr">
        <is>
          <t>Lane</t>
        </is>
      </c>
      <c r="B9" s="7" t="inlineStr">
        <is>
          <t>Active?</t>
        </is>
      </c>
      <c r="C9" s="7" t="inlineStr">
        <is>
          <t>alpha_qi</t>
        </is>
      </c>
      <c r="D9" s="7" t="inlineStr">
        <is>
          <t>qik (kN/m2)</t>
        </is>
      </c>
      <c r="E9" s="7" t="inlineStr">
        <is>
          <t>UDL_i (kN/m2)</t>
        </is>
      </c>
      <c r="F9" s="7" t="inlineStr">
        <is>
          <t>Qi,TS (kN)</t>
        </is>
      </c>
    </row>
    <row r="10">
      <c r="A10" t="inlineStr">
        <is>
          <t>Lane 1</t>
        </is>
      </c>
      <c r="B10">
        <f>1&lt;=n_lanes</f>
        <v/>
      </c>
      <c r="C10" s="12" t="n">
        <v>0.61</v>
      </c>
      <c r="D10" s="12" t="n">
        <v>9</v>
      </c>
      <c r="E10" s="12">
        <f>C10*D10</f>
        <v/>
      </c>
      <c r="F10" s="14" t="n">
        <v>300</v>
      </c>
    </row>
    <row r="11">
      <c r="A11" t="inlineStr">
        <is>
          <t>Lane 2</t>
        </is>
      </c>
      <c r="B11">
        <f>2&lt;=n_lanes</f>
        <v/>
      </c>
      <c r="C11" s="12" t="n">
        <v>2.2</v>
      </c>
      <c r="D11" s="12" t="n">
        <v>2.5</v>
      </c>
      <c r="E11" s="12">
        <f>C11*D11</f>
        <v/>
      </c>
      <c r="F11" s="14" t="n">
        <v>200</v>
      </c>
    </row>
    <row r="12">
      <c r="A12" t="inlineStr">
        <is>
          <t>Lane 3</t>
        </is>
      </c>
      <c r="B12">
        <f>3&lt;=n_lanes</f>
        <v/>
      </c>
      <c r="C12" s="12" t="n">
        <v>2.2</v>
      </c>
      <c r="D12" s="12" t="n">
        <v>2.5</v>
      </c>
      <c r="E12" s="12">
        <f>C12*D12</f>
        <v/>
      </c>
      <c r="F12" s="14" t="n">
        <v>100</v>
      </c>
    </row>
    <row r="14">
      <c r="A14" s="3" t="inlineStr">
        <is>
          <t>Contact Patch &amp; Dispersal Through Fill</t>
        </is>
      </c>
      <c r="B14" s="4" t="n"/>
      <c r="C14" s="4" t="n"/>
      <c r="D14" s="4" t="n"/>
      <c r="E14" s="4" t="n"/>
      <c r="F14" s="4" t="n"/>
    </row>
    <row r="15">
      <c r="A15" t="inlineStr">
        <is>
          <t>Contact patch (mm)</t>
        </is>
      </c>
      <c r="B15" s="14" t="n">
        <v>400</v>
      </c>
    </row>
    <row r="16">
      <c r="A16" t="inlineStr">
        <is>
          <t>tan(30deg)</t>
        </is>
      </c>
      <c r="B16" s="15">
        <f>TAN(RADIANS(30))</f>
        <v/>
      </c>
    </row>
    <row r="17">
      <c r="A17" t="inlineStr">
        <is>
          <t>Dispersed patch = contact_patch + 2*H_c*1000*tan_30 (mm)</t>
        </is>
      </c>
      <c r="B17" s="11">
        <f>contact_patch+2*H_c*1000*tan_30</f>
        <v/>
      </c>
    </row>
    <row r="18">
      <c r="A18" t="inlineStr">
        <is>
          <t>disp_m (m)</t>
        </is>
      </c>
      <c r="B18" s="13">
        <f>B17/1000</f>
        <v/>
      </c>
    </row>
    <row r="20">
      <c r="A20" s="3" t="inlineStr">
        <is>
          <t>Transverse Dispersal (Figure 11) — lanes 1 &amp; 2</t>
        </is>
      </c>
      <c r="B20" s="4" t="n"/>
      <c r="C20" s="4" t="n"/>
      <c r="D20" s="4" t="n"/>
      <c r="E20" s="4" t="n"/>
      <c r="F20" s="4" t="n"/>
    </row>
    <row r="21">
      <c r="A21" t="inlineStr">
        <is>
          <t>W1 = lane1_ts / 2 (kN)</t>
        </is>
      </c>
      <c r="B21" s="12">
        <f>lane1_ts/2</f>
        <v/>
      </c>
    </row>
    <row r="22">
      <c r="A22" t="inlineStr">
        <is>
          <t>W2 = lane2_ts / 2 (kN)</t>
        </is>
      </c>
      <c r="B22" s="12">
        <f>lane2_ts/2</f>
        <v/>
      </c>
    </row>
    <row r="23">
      <c r="A23" t="inlineStr">
        <is>
          <t>Gap between lanes 1 &amp; 2 = 3.0 - 2.0 (m)</t>
        </is>
      </c>
      <c r="B23" s="12">
        <f>notional_lane_width-2</f>
        <v/>
      </c>
    </row>
    <row r="24">
      <c r="A24" t="inlineStr">
        <is>
          <t>Overlap a = MAX(disp_m - gap, 0) (m)</t>
        </is>
      </c>
      <c r="B24" s="13">
        <f>MAX(disp_m-B23,0)</f>
        <v/>
      </c>
    </row>
    <row r="25">
      <c r="A25" t="inlineStr">
        <is>
          <t>F_transverse_1m (kN/m)</t>
        </is>
      </c>
      <c r="B25" s="12">
        <f>IF(n_lanes&gt;=2, 1*B21/disp_m + B24*B22/disp_m, B21/disp_m)</f>
        <v/>
      </c>
    </row>
    <row r="27">
      <c r="A27" s="3" t="inlineStr">
        <is>
          <t>Longitudinal Dispersal</t>
        </is>
      </c>
      <c r="B27" s="4" t="n"/>
      <c r="C27" s="4" t="n"/>
      <c r="D27" s="4" t="n"/>
      <c r="E27" s="4" t="n"/>
      <c r="F27" s="4" t="n"/>
    </row>
    <row r="28">
      <c r="A28" t="inlineStr">
        <is>
          <t>Patch load = F_transverse_1m / disp_m (kN/m)</t>
        </is>
      </c>
      <c r="B28" s="12">
        <f>F_transverse_1m/disp_m</f>
        <v/>
      </c>
    </row>
    <row r="30">
      <c r="A30" s="3" t="inlineStr">
        <is>
          <t>Braking and Acceleration Forces</t>
        </is>
      </c>
      <c r="B30" s="4" t="n"/>
      <c r="C30" s="4" t="n"/>
      <c r="D30" s="4" t="n"/>
      <c r="E30" s="4" t="n"/>
      <c r="F30" s="4" t="n"/>
    </row>
    <row r="31">
      <c r="A31" t="inlineStr">
        <is>
          <t>term1 = 0.6*alpha_Q1*(2*Q1k), alpha_Q1=1.0</t>
        </is>
      </c>
      <c r="B31" s="12">
        <f>0.6*1*(2*lane1_ts)</f>
        <v/>
      </c>
    </row>
    <row r="32">
      <c r="A32" t="inlineStr">
        <is>
          <t>term2 = 0.1*alpha_q1*q1k*w1*L, alpha_q1=1.0, w1=3.0, L=B_ext</t>
        </is>
      </c>
      <c r="B32" s="12">
        <f>0.1*1*D10*notional_lane_width*B_ext</f>
        <v/>
      </c>
    </row>
    <row r="33">
      <c r="A33" t="inlineStr">
        <is>
          <t>Q_lk,raw = term1 + term2 (kN)</t>
        </is>
      </c>
      <c r="B33" s="12">
        <f>B31+B32</f>
        <v/>
      </c>
    </row>
    <row r="34">
      <c r="A34" t="inlineStr">
        <is>
          <t>Q_lk,clamped = MAX(180, MIN(900, Q_lk,raw)) (kN)</t>
        </is>
      </c>
      <c r="B34" s="12">
        <f>MAX(180,MIN(900,B33))</f>
        <v/>
      </c>
    </row>
    <row r="35">
      <c r="A35" t="inlineStr">
        <is>
          <t>Reduction factor eta (H_c&lt;0.6: 1; H_c&lt;B_ext: (B_ext-H_c)/(B_ext-0.6); else 0)</t>
        </is>
      </c>
      <c r="B35" s="13">
        <f>IF(H_c&lt;0.6,1,IF(H_c&lt;B_ext,(B_ext-H_c)/(B_ext-0.6),0))</f>
        <v/>
      </c>
    </row>
    <row r="36">
      <c r="A36" t="inlineStr">
        <is>
          <t>Q_lk = eta * Q_lk,clamped (kN)</t>
        </is>
      </c>
      <c r="B36" s="12">
        <f>B35*B34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A9DB"/>
    <outlinePr summaryBelow="1" summaryRight="1"/>
    <pageSetUpPr/>
  </sheetPr>
  <dimension ref="A1:F457"/>
  <sheetViews>
    <sheetView showGridLines="0" tabSelected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34" customWidth="1" min="3" max="3"/>
    <col width="10" customWidth="1" min="4" max="4"/>
    <col width="16" customWidth="1" min="5" max="5"/>
  </cols>
  <sheetData>
    <row r="1" ht="20" customHeight="1">
      <c r="A1" s="1" t="inlineStr">
        <is>
          <t>LM3 Calculations — Special Vehicle (SV) Maximum Vertical Load &amp; Braking</t>
        </is>
      </c>
      <c r="B1" s="2" t="n"/>
      <c r="C1" s="2" t="n"/>
      <c r="D1" s="2" t="n"/>
      <c r="E1" s="2" t="n"/>
      <c r="F1" s="2" t="n"/>
    </row>
    <row r="3">
      <c r="A3" s="3" t="inlineStr">
        <is>
          <t>Wheel Dispersal Through Fill</t>
        </is>
      </c>
      <c r="B3" s="4" t="n"/>
      <c r="C3" s="4" t="n"/>
      <c r="D3" s="4" t="n"/>
      <c r="E3" s="4" t="n"/>
      <c r="F3" s="4" t="n"/>
    </row>
    <row r="4">
      <c r="A4" t="inlineStr">
        <is>
          <t>Wheel contact patch, L_L direction (m)</t>
        </is>
      </c>
      <c r="B4" s="12" t="n">
        <v>0.35</v>
      </c>
    </row>
    <row r="5">
      <c r="A5" t="inlineStr">
        <is>
          <t>Wheel contact patch, B_ext direction (m)</t>
        </is>
      </c>
      <c r="B5" s="12" t="n">
        <v>0.35</v>
      </c>
    </row>
    <row r="6">
      <c r="A6" t="inlineStr">
        <is>
          <t>Wheel spacing, L_L direction (m)</t>
        </is>
      </c>
      <c r="B6" s="12" t="n">
        <v>2.65</v>
      </c>
    </row>
    <row r="7">
      <c r="A7" t="inlineStr">
        <is>
          <t>tan(30deg)</t>
        </is>
      </c>
      <c r="B7" s="15">
        <f>TAN(RADIANS(30))</f>
        <v/>
      </c>
    </row>
    <row r="8">
      <c r="A8" t="inlineStr">
        <is>
          <t>Dispersed width per wheel, L_L direction = contact_t + 2*tan30*H_c (m)</t>
        </is>
      </c>
      <c r="B8" s="13">
        <f>sv_contact_t+2*lm3_tan_30*H_c</f>
        <v/>
      </c>
    </row>
    <row r="9">
      <c r="A9" t="inlineStr">
        <is>
          <t>Gap between wheels' dispersed zones = wheel_spacing - dispersed width (m)</t>
        </is>
      </c>
      <c r="B9" s="13">
        <f>sv_wheel_spacing-B8</f>
        <v/>
      </c>
    </row>
    <row r="10">
      <c r="A10" t="inlineStr">
        <is>
          <t>disp_LL (m) — merged if gap&lt;0, else zones stay separate</t>
        </is>
      </c>
      <c r="B10" s="13">
        <f>IF(B9&gt;=0, 2*B8, sv_wheel_spacing+B8)</f>
        <v/>
      </c>
    </row>
    <row r="11">
      <c r="A11" t="inlineStr">
        <is>
          <t>disp_B (m) — dispersed width per axle, B_ext direction</t>
        </is>
      </c>
      <c r="B11" s="13">
        <f>sv_contact_l+2*lm3_tan_30*H_c</f>
        <v/>
      </c>
    </row>
    <row r="12">
      <c r="A12" t="inlineStr">
        <is>
          <t>half_B = disp_B / 2 (m)</t>
        </is>
      </c>
      <c r="B12" s="13">
        <f>disp_B/2</f>
        <v/>
      </c>
    </row>
    <row r="14">
      <c r="A14" s="3" t="inlineStr">
        <is>
          <t>Worst-Case Position — SV80</t>
        </is>
      </c>
      <c r="B14" s="4" t="n"/>
      <c r="C14" s="4" t="n"/>
      <c r="D14" s="4" t="n"/>
      <c r="E14" s="4" t="n"/>
      <c r="F14" s="4" t="n"/>
    </row>
    <row r="15">
      <c r="A15" s="16" t="inlineStr">
        <is>
          <t>SV80 — inter-group gap = 1.2 m</t>
        </is>
      </c>
    </row>
    <row r="16">
      <c r="A16" s="7" t="inlineStr">
        <is>
          <t>Axle</t>
        </is>
      </c>
      <c r="B16" s="7" t="inlineStr">
        <is>
          <t>Position (m)</t>
        </is>
      </c>
      <c r="C16" s="7" t="inlineStr">
        <is>
          <t>Basic Load (kN)</t>
        </is>
      </c>
      <c r="D16" s="7" t="inlineStr">
        <is>
          <t>DAF</t>
        </is>
      </c>
      <c r="E16" s="7" t="inlineStr">
        <is>
          <t>Factored Load (kN)</t>
        </is>
      </c>
    </row>
    <row r="17">
      <c r="A17" t="n">
        <v>1</v>
      </c>
      <c r="B17" s="12" t="n">
        <v>0</v>
      </c>
      <c r="C17" s="11" t="n">
        <v>130</v>
      </c>
      <c r="D17" s="12" t="n">
        <v>1.16</v>
      </c>
      <c r="E17" s="12">
        <f>C17*D17</f>
        <v/>
      </c>
    </row>
    <row r="18">
      <c r="A18" t="n">
        <v>2</v>
      </c>
      <c r="B18" s="12" t="n">
        <v>1.2</v>
      </c>
      <c r="C18" s="11" t="n">
        <v>130</v>
      </c>
      <c r="D18" s="12" t="n">
        <v>1.16</v>
      </c>
      <c r="E18" s="12">
        <f>C18*D18</f>
        <v/>
      </c>
    </row>
    <row r="19">
      <c r="A19" t="n">
        <v>3</v>
      </c>
      <c r="B19" s="12" t="n">
        <v>2.4</v>
      </c>
      <c r="C19" s="11" t="n">
        <v>130</v>
      </c>
      <c r="D19" s="12" t="n">
        <v>1.16</v>
      </c>
      <c r="E19" s="12">
        <f>C19*D19</f>
        <v/>
      </c>
    </row>
    <row r="20">
      <c r="A20" t="n">
        <v>4</v>
      </c>
      <c r="B20" s="12" t="n">
        <v>3.6</v>
      </c>
      <c r="C20" s="11" t="n">
        <v>130</v>
      </c>
      <c r="D20" s="12" t="n">
        <v>1.16</v>
      </c>
      <c r="E20" s="12">
        <f>C20*D20</f>
        <v/>
      </c>
    </row>
    <row r="21">
      <c r="A21" t="n">
        <v>5</v>
      </c>
      <c r="B21" s="12" t="n">
        <v>4.8</v>
      </c>
      <c r="C21" s="11" t="n">
        <v>130</v>
      </c>
      <c r="D21" s="12" t="n">
        <v>1.16</v>
      </c>
      <c r="E21" s="12">
        <f>C21*D21</f>
        <v/>
      </c>
    </row>
    <row r="22">
      <c r="A22" t="n">
        <v>6</v>
      </c>
      <c r="B22" s="12" t="n">
        <v>6</v>
      </c>
      <c r="C22" s="11" t="n">
        <v>130</v>
      </c>
      <c r="D22" s="12" t="n">
        <v>1.16</v>
      </c>
      <c r="E22" s="12">
        <f>C22*D22</f>
        <v/>
      </c>
    </row>
    <row r="24">
      <c r="A24" s="7" t="inlineStr">
        <is>
          <t>Breakpoint candidate offset</t>
        </is>
      </c>
      <c r="B24" s="7" t="inlineStr">
        <is>
          <t>Offset (m)</t>
        </is>
      </c>
      <c r="C24" s="7" t="inlineStr">
        <is>
          <t>Total landed load at this offset (kN/m)</t>
        </is>
      </c>
    </row>
    <row r="25">
      <c r="A25" t="inlineStr">
        <is>
          <t>axle 1, right=0</t>
        </is>
      </c>
      <c r="B25" s="13">
        <f>-half_B-$B$17</f>
        <v/>
      </c>
      <c r="C25" s="12">
        <f>SUMPRODUCT($E$17:$E$22*(((((($B25+$B$17:$B$22+half_B)+B_ext-ABS(($B25+$B$17:$B$22+half_B)-B_ext))/2)-((($B25+$B$17:$B$22-half_B)+ABS(($B25+$B$17:$B$22-half_B)))/2))+ABS((((($B25+$B$17:$B$22+half_B)+B_ext-ABS(($B25+$B$17:$B$22+half_B)-B_ext))/2)-((($B25+$B$17:$B$22-half_B)+ABS(($B25+$B$17:$B$22-half_B)))/2))))/2))/disp_B/disp_LL</f>
        <v/>
      </c>
    </row>
    <row r="26">
      <c r="A26" t="inlineStr">
        <is>
          <t>axle 1, right=B_ext</t>
        </is>
      </c>
      <c r="B26" s="13">
        <f>B_ext-half_B-$B$17</f>
        <v/>
      </c>
      <c r="C26" s="12">
        <f>SUMPRODUCT($E$17:$E$22*(((((($B26+$B$17:$B$22+half_B)+B_ext-ABS(($B26+$B$17:$B$22+half_B)-B_ext))/2)-((($B26+$B$17:$B$22-half_B)+ABS(($B26+$B$17:$B$22-half_B)))/2))+ABS((((($B26+$B$17:$B$22+half_B)+B_ext-ABS(($B26+$B$17:$B$22+half_B)-B_ext))/2)-((($B26+$B$17:$B$22-half_B)+ABS(($B26+$B$17:$B$22-half_B)))/2))))/2))/disp_B/disp_LL</f>
        <v/>
      </c>
    </row>
    <row r="27">
      <c r="A27" t="inlineStr">
        <is>
          <t>axle 1, left=0</t>
        </is>
      </c>
      <c r="B27" s="13">
        <f>half_B-$B$17</f>
        <v/>
      </c>
      <c r="C27" s="12">
        <f>SUMPRODUCT($E$17:$E$22*(((((($B27+$B$17:$B$22+half_B)+B_ext-ABS(($B27+$B$17:$B$22+half_B)-B_ext))/2)-((($B27+$B$17:$B$22-half_B)+ABS(($B27+$B$17:$B$22-half_B)))/2))+ABS((((($B27+$B$17:$B$22+half_B)+B_ext-ABS(($B27+$B$17:$B$22+half_B)-B_ext))/2)-((($B27+$B$17:$B$22-half_B)+ABS(($B27+$B$17:$B$22-half_B)))/2))))/2))/disp_B/disp_LL</f>
        <v/>
      </c>
    </row>
    <row r="28">
      <c r="A28" t="inlineStr">
        <is>
          <t>axle 1, left=B_ext</t>
        </is>
      </c>
      <c r="B28" s="13">
        <f>B_ext+half_B-$B$17</f>
        <v/>
      </c>
      <c r="C28" s="12">
        <f>SUMPRODUCT($E$17:$E$22*(((((($B28+$B$17:$B$22+half_B)+B_ext-ABS(($B28+$B$17:$B$22+half_B)-B_ext))/2)-((($B28+$B$17:$B$22-half_B)+ABS(($B28+$B$17:$B$22-half_B)))/2))+ABS((((($B28+$B$17:$B$22+half_B)+B_ext-ABS(($B28+$B$17:$B$22+half_B)-B_ext))/2)-((($B28+$B$17:$B$22-half_B)+ABS(($B28+$B$17:$B$22-half_B)))/2))))/2))/disp_B/disp_LL</f>
        <v/>
      </c>
    </row>
    <row r="29">
      <c r="A29" t="inlineStr">
        <is>
          <t>axle 2, right=0</t>
        </is>
      </c>
      <c r="B29" s="13">
        <f>-half_B-$B$18</f>
        <v/>
      </c>
      <c r="C29" s="12">
        <f>SUMPRODUCT($E$17:$E$22*(((((($B29+$B$17:$B$22+half_B)+B_ext-ABS(($B29+$B$17:$B$22+half_B)-B_ext))/2)-((($B29+$B$17:$B$22-half_B)+ABS(($B29+$B$17:$B$22-half_B)))/2))+ABS((((($B29+$B$17:$B$22+half_B)+B_ext-ABS(($B29+$B$17:$B$22+half_B)-B_ext))/2)-((($B29+$B$17:$B$22-half_B)+ABS(($B29+$B$17:$B$22-half_B)))/2))))/2))/disp_B/disp_LL</f>
        <v/>
      </c>
    </row>
    <row r="30">
      <c r="A30" t="inlineStr">
        <is>
          <t>axle 2, right=B_ext</t>
        </is>
      </c>
      <c r="B30" s="13">
        <f>B_ext-half_B-$B$18</f>
        <v/>
      </c>
      <c r="C30" s="12">
        <f>SUMPRODUCT($E$17:$E$22*(((((($B30+$B$17:$B$22+half_B)+B_ext-ABS(($B30+$B$17:$B$22+half_B)-B_ext))/2)-((($B30+$B$17:$B$22-half_B)+ABS(($B30+$B$17:$B$22-half_B)))/2))+ABS((((($B30+$B$17:$B$22+half_B)+B_ext-ABS(($B30+$B$17:$B$22+half_B)-B_ext))/2)-((($B30+$B$17:$B$22-half_B)+ABS(($B30+$B$17:$B$22-half_B)))/2))))/2))/disp_B/disp_LL</f>
        <v/>
      </c>
    </row>
    <row r="31">
      <c r="A31" t="inlineStr">
        <is>
          <t>axle 2, left=0</t>
        </is>
      </c>
      <c r="B31" s="13">
        <f>half_B-$B$18</f>
        <v/>
      </c>
      <c r="C31" s="12">
        <f>SUMPRODUCT($E$17:$E$22*(((((($B31+$B$17:$B$22+half_B)+B_ext-ABS(($B31+$B$17:$B$22+half_B)-B_ext))/2)-((($B31+$B$17:$B$22-half_B)+ABS(($B31+$B$17:$B$22-half_B)))/2))+ABS((((($B31+$B$17:$B$22+half_B)+B_ext-ABS(($B31+$B$17:$B$22+half_B)-B_ext))/2)-((($B31+$B$17:$B$22-half_B)+ABS(($B31+$B$17:$B$22-half_B)))/2))))/2))/disp_B/disp_LL</f>
        <v/>
      </c>
    </row>
    <row r="32">
      <c r="A32" t="inlineStr">
        <is>
          <t>axle 2, left=B_ext</t>
        </is>
      </c>
      <c r="B32" s="13">
        <f>B_ext+half_B-$B$18</f>
        <v/>
      </c>
      <c r="C32" s="12">
        <f>SUMPRODUCT($E$17:$E$22*(((((($B32+$B$17:$B$22+half_B)+B_ext-ABS(($B32+$B$17:$B$22+half_B)-B_ext))/2)-((($B32+$B$17:$B$22-half_B)+ABS(($B32+$B$17:$B$22-half_B)))/2))+ABS((((($B32+$B$17:$B$22+half_B)+B_ext-ABS(($B32+$B$17:$B$22+half_B)-B_ext))/2)-((($B32+$B$17:$B$22-half_B)+ABS(($B32+$B$17:$B$22-half_B)))/2))))/2))/disp_B/disp_LL</f>
        <v/>
      </c>
    </row>
    <row r="33">
      <c r="A33" t="inlineStr">
        <is>
          <t>axle 3, right=0</t>
        </is>
      </c>
      <c r="B33" s="13">
        <f>-half_B-$B$19</f>
        <v/>
      </c>
      <c r="C33" s="12">
        <f>SUMPRODUCT($E$17:$E$22*(((((($B33+$B$17:$B$22+half_B)+B_ext-ABS(($B33+$B$17:$B$22+half_B)-B_ext))/2)-((($B33+$B$17:$B$22-half_B)+ABS(($B33+$B$17:$B$22-half_B)))/2))+ABS((((($B33+$B$17:$B$22+half_B)+B_ext-ABS(($B33+$B$17:$B$22+half_B)-B_ext))/2)-((($B33+$B$17:$B$22-half_B)+ABS(($B33+$B$17:$B$22-half_B)))/2))))/2))/disp_B/disp_LL</f>
        <v/>
      </c>
    </row>
    <row r="34">
      <c r="A34" t="inlineStr">
        <is>
          <t>axle 3, right=B_ext</t>
        </is>
      </c>
      <c r="B34" s="13">
        <f>B_ext-half_B-$B$19</f>
        <v/>
      </c>
      <c r="C34" s="12">
        <f>SUMPRODUCT($E$17:$E$22*(((((($B34+$B$17:$B$22+half_B)+B_ext-ABS(($B34+$B$17:$B$22+half_B)-B_ext))/2)-((($B34+$B$17:$B$22-half_B)+ABS(($B34+$B$17:$B$22-half_B)))/2))+ABS((((($B34+$B$17:$B$22+half_B)+B_ext-ABS(($B34+$B$17:$B$22+half_B)-B_ext))/2)-((($B34+$B$17:$B$22-half_B)+ABS(($B34+$B$17:$B$22-half_B)))/2))))/2))/disp_B/disp_LL</f>
        <v/>
      </c>
    </row>
    <row r="35">
      <c r="A35" t="inlineStr">
        <is>
          <t>axle 3, left=0</t>
        </is>
      </c>
      <c r="B35" s="13">
        <f>half_B-$B$19</f>
        <v/>
      </c>
      <c r="C35" s="12">
        <f>SUMPRODUCT($E$17:$E$22*(((((($B35+$B$17:$B$22+half_B)+B_ext-ABS(($B35+$B$17:$B$22+half_B)-B_ext))/2)-((($B35+$B$17:$B$22-half_B)+ABS(($B35+$B$17:$B$22-half_B)))/2))+ABS((((($B35+$B$17:$B$22+half_B)+B_ext-ABS(($B35+$B$17:$B$22+half_B)-B_ext))/2)-((($B35+$B$17:$B$22-half_B)+ABS(($B35+$B$17:$B$22-half_B)))/2))))/2))/disp_B/disp_LL</f>
        <v/>
      </c>
    </row>
    <row r="36">
      <c r="A36" t="inlineStr">
        <is>
          <t>axle 3, left=B_ext</t>
        </is>
      </c>
      <c r="B36" s="13">
        <f>B_ext+half_B-$B$19</f>
        <v/>
      </c>
      <c r="C36" s="12">
        <f>SUMPRODUCT($E$17:$E$22*(((((($B36+$B$17:$B$22+half_B)+B_ext-ABS(($B36+$B$17:$B$22+half_B)-B_ext))/2)-((($B36+$B$17:$B$22-half_B)+ABS(($B36+$B$17:$B$22-half_B)))/2))+ABS((((($B36+$B$17:$B$22+half_B)+B_ext-ABS(($B36+$B$17:$B$22+half_B)-B_ext))/2)-((($B36+$B$17:$B$22-half_B)+ABS(($B36+$B$17:$B$22-half_B)))/2))))/2))/disp_B/disp_LL</f>
        <v/>
      </c>
    </row>
    <row r="37">
      <c r="A37" t="inlineStr">
        <is>
          <t>axle 4, right=0</t>
        </is>
      </c>
      <c r="B37" s="13">
        <f>-half_B-$B$20</f>
        <v/>
      </c>
      <c r="C37" s="12">
        <f>SUMPRODUCT($E$17:$E$22*(((((($B37+$B$17:$B$22+half_B)+B_ext-ABS(($B37+$B$17:$B$22+half_B)-B_ext))/2)-((($B37+$B$17:$B$22-half_B)+ABS(($B37+$B$17:$B$22-half_B)))/2))+ABS((((($B37+$B$17:$B$22+half_B)+B_ext-ABS(($B37+$B$17:$B$22+half_B)-B_ext))/2)-((($B37+$B$17:$B$22-half_B)+ABS(($B37+$B$17:$B$22-half_B)))/2))))/2))/disp_B/disp_LL</f>
        <v/>
      </c>
    </row>
    <row r="38">
      <c r="A38" t="inlineStr">
        <is>
          <t>axle 4, right=B_ext</t>
        </is>
      </c>
      <c r="B38" s="13">
        <f>B_ext-half_B-$B$20</f>
        <v/>
      </c>
      <c r="C38" s="12">
        <f>SUMPRODUCT($E$17:$E$22*(((((($B38+$B$17:$B$22+half_B)+B_ext-ABS(($B38+$B$17:$B$22+half_B)-B_ext))/2)-((($B38+$B$17:$B$22-half_B)+ABS(($B38+$B$17:$B$22-half_B)))/2))+ABS((((($B38+$B$17:$B$22+half_B)+B_ext-ABS(($B38+$B$17:$B$22+half_B)-B_ext))/2)-((($B38+$B$17:$B$22-half_B)+ABS(($B38+$B$17:$B$22-half_B)))/2))))/2))/disp_B/disp_LL</f>
        <v/>
      </c>
    </row>
    <row r="39">
      <c r="A39" t="inlineStr">
        <is>
          <t>axle 4, left=0</t>
        </is>
      </c>
      <c r="B39" s="13">
        <f>half_B-$B$20</f>
        <v/>
      </c>
      <c r="C39" s="12">
        <f>SUMPRODUCT($E$17:$E$22*(((((($B39+$B$17:$B$22+half_B)+B_ext-ABS(($B39+$B$17:$B$22+half_B)-B_ext))/2)-((($B39+$B$17:$B$22-half_B)+ABS(($B39+$B$17:$B$22-half_B)))/2))+ABS((((($B39+$B$17:$B$22+half_B)+B_ext-ABS(($B39+$B$17:$B$22+half_B)-B_ext))/2)-((($B39+$B$17:$B$22-half_B)+ABS(($B39+$B$17:$B$22-half_B)))/2))))/2))/disp_B/disp_LL</f>
        <v/>
      </c>
    </row>
    <row r="40">
      <c r="A40" t="inlineStr">
        <is>
          <t>axle 4, left=B_ext</t>
        </is>
      </c>
      <c r="B40" s="13">
        <f>B_ext+half_B-$B$20</f>
        <v/>
      </c>
      <c r="C40" s="12">
        <f>SUMPRODUCT($E$17:$E$22*(((((($B40+$B$17:$B$22+half_B)+B_ext-ABS(($B40+$B$17:$B$22+half_B)-B_ext))/2)-((($B40+$B$17:$B$22-half_B)+ABS(($B40+$B$17:$B$22-half_B)))/2))+ABS((((($B40+$B$17:$B$22+half_B)+B_ext-ABS(($B40+$B$17:$B$22+half_B)-B_ext))/2)-((($B40+$B$17:$B$22-half_B)+ABS(($B40+$B$17:$B$22-half_B)))/2))))/2))/disp_B/disp_LL</f>
        <v/>
      </c>
    </row>
    <row r="41">
      <c r="A41" t="inlineStr">
        <is>
          <t>axle 5, right=0</t>
        </is>
      </c>
      <c r="B41" s="13">
        <f>-half_B-$B$21</f>
        <v/>
      </c>
      <c r="C41" s="12">
        <f>SUMPRODUCT($E$17:$E$22*(((((($B41+$B$17:$B$22+half_B)+B_ext-ABS(($B41+$B$17:$B$22+half_B)-B_ext))/2)-((($B41+$B$17:$B$22-half_B)+ABS(($B41+$B$17:$B$22-half_B)))/2))+ABS((((($B41+$B$17:$B$22+half_B)+B_ext-ABS(($B41+$B$17:$B$22+half_B)-B_ext))/2)-((($B41+$B$17:$B$22-half_B)+ABS(($B41+$B$17:$B$22-half_B)))/2))))/2))/disp_B/disp_LL</f>
        <v/>
      </c>
    </row>
    <row r="42">
      <c r="A42" t="inlineStr">
        <is>
          <t>axle 5, right=B_ext</t>
        </is>
      </c>
      <c r="B42" s="13">
        <f>B_ext-half_B-$B$21</f>
        <v/>
      </c>
      <c r="C42" s="12">
        <f>SUMPRODUCT($E$17:$E$22*(((((($B42+$B$17:$B$22+half_B)+B_ext-ABS(($B42+$B$17:$B$22+half_B)-B_ext))/2)-((($B42+$B$17:$B$22-half_B)+ABS(($B42+$B$17:$B$22-half_B)))/2))+ABS((((($B42+$B$17:$B$22+half_B)+B_ext-ABS(($B42+$B$17:$B$22+half_B)-B_ext))/2)-((($B42+$B$17:$B$22-half_B)+ABS(($B42+$B$17:$B$22-half_B)))/2))))/2))/disp_B/disp_LL</f>
        <v/>
      </c>
    </row>
    <row r="43">
      <c r="A43" t="inlineStr">
        <is>
          <t>axle 5, left=0</t>
        </is>
      </c>
      <c r="B43" s="13">
        <f>half_B-$B$21</f>
        <v/>
      </c>
      <c r="C43" s="12">
        <f>SUMPRODUCT($E$17:$E$22*(((((($B43+$B$17:$B$22+half_B)+B_ext-ABS(($B43+$B$17:$B$22+half_B)-B_ext))/2)-((($B43+$B$17:$B$22-half_B)+ABS(($B43+$B$17:$B$22-half_B)))/2))+ABS((((($B43+$B$17:$B$22+half_B)+B_ext-ABS(($B43+$B$17:$B$22+half_B)-B_ext))/2)-((($B43+$B$17:$B$22-half_B)+ABS(($B43+$B$17:$B$22-half_B)))/2))))/2))/disp_B/disp_LL</f>
        <v/>
      </c>
    </row>
    <row r="44">
      <c r="A44" t="inlineStr">
        <is>
          <t>axle 5, left=B_ext</t>
        </is>
      </c>
      <c r="B44" s="13">
        <f>B_ext+half_B-$B$21</f>
        <v/>
      </c>
      <c r="C44" s="12">
        <f>SUMPRODUCT($E$17:$E$22*(((((($B44+$B$17:$B$22+half_B)+B_ext-ABS(($B44+$B$17:$B$22+half_B)-B_ext))/2)-((($B44+$B$17:$B$22-half_B)+ABS(($B44+$B$17:$B$22-half_B)))/2))+ABS((((($B44+$B$17:$B$22+half_B)+B_ext-ABS(($B44+$B$17:$B$22+half_B)-B_ext))/2)-((($B44+$B$17:$B$22-half_B)+ABS(($B44+$B$17:$B$22-half_B)))/2))))/2))/disp_B/disp_LL</f>
        <v/>
      </c>
    </row>
    <row r="45">
      <c r="A45" t="inlineStr">
        <is>
          <t>axle 6, right=0</t>
        </is>
      </c>
      <c r="B45" s="13">
        <f>-half_B-$B$22</f>
        <v/>
      </c>
      <c r="C45" s="12">
        <f>SUMPRODUCT($E$17:$E$22*(((((($B45+$B$17:$B$22+half_B)+B_ext-ABS(($B45+$B$17:$B$22+half_B)-B_ext))/2)-((($B45+$B$17:$B$22-half_B)+ABS(($B45+$B$17:$B$22-half_B)))/2))+ABS((((($B45+$B$17:$B$22+half_B)+B_ext-ABS(($B45+$B$17:$B$22+half_B)-B_ext))/2)-((($B45+$B$17:$B$22-half_B)+ABS(($B45+$B$17:$B$22-half_B)))/2))))/2))/disp_B/disp_LL</f>
        <v/>
      </c>
    </row>
    <row r="46">
      <c r="A46" t="inlineStr">
        <is>
          <t>axle 6, right=B_ext</t>
        </is>
      </c>
      <c r="B46" s="13">
        <f>B_ext-half_B-$B$22</f>
        <v/>
      </c>
      <c r="C46" s="12">
        <f>SUMPRODUCT($E$17:$E$22*(((((($B46+$B$17:$B$22+half_B)+B_ext-ABS(($B46+$B$17:$B$22+half_B)-B_ext))/2)-((($B46+$B$17:$B$22-half_B)+ABS(($B46+$B$17:$B$22-half_B)))/2))+ABS((((($B46+$B$17:$B$22+half_B)+B_ext-ABS(($B46+$B$17:$B$22+half_B)-B_ext))/2)-((($B46+$B$17:$B$22-half_B)+ABS(($B46+$B$17:$B$22-half_B)))/2))))/2))/disp_B/disp_LL</f>
        <v/>
      </c>
    </row>
    <row r="47">
      <c r="A47" t="inlineStr">
        <is>
          <t>axle 6, left=0</t>
        </is>
      </c>
      <c r="B47" s="13">
        <f>half_B-$B$22</f>
        <v/>
      </c>
      <c r="C47" s="12">
        <f>SUMPRODUCT($E$17:$E$22*(((((($B47+$B$17:$B$22+half_B)+B_ext-ABS(($B47+$B$17:$B$22+half_B)-B_ext))/2)-((($B47+$B$17:$B$22-half_B)+ABS(($B47+$B$17:$B$22-half_B)))/2))+ABS((((($B47+$B$17:$B$22+half_B)+B_ext-ABS(($B47+$B$17:$B$22+half_B)-B_ext))/2)-((($B47+$B$17:$B$22-half_B)+ABS(($B47+$B$17:$B$22-half_B)))/2))))/2))/disp_B/disp_LL</f>
        <v/>
      </c>
    </row>
    <row r="48">
      <c r="A48" t="inlineStr">
        <is>
          <t>axle 6, left=B_ext</t>
        </is>
      </c>
      <c r="B48" s="13">
        <f>B_ext+half_B-$B$22</f>
        <v/>
      </c>
      <c r="C48" s="12">
        <f>SUMPRODUCT($E$17:$E$22*(((((($B48+$B$17:$B$22+half_B)+B_ext-ABS(($B48+$B$17:$B$22+half_B)-B_ext))/2)-((($B48+$B$17:$B$22-half_B)+ABS(($B48+$B$17:$B$22-half_B)))/2))+ABS((((($B48+$B$17:$B$22+half_B)+B_ext-ABS(($B48+$B$17:$B$22+half_B)-B_ext))/2)-((($B48+$B$17:$B$22-half_B)+ABS(($B48+$B$17:$B$22-half_B)))/2))))/2))/disp_B/disp_LL</f>
        <v/>
      </c>
    </row>
    <row r="50">
      <c r="A50" t="inlineStr">
        <is>
          <t>SV80 block max, gap=1.2m (kN/m)</t>
        </is>
      </c>
      <c r="B50" s="12">
        <f>MAX(C25:C48)</f>
        <v/>
      </c>
    </row>
    <row r="52">
      <c r="A52" s="16" t="inlineStr">
        <is>
          <t>SV80 — inter-group gap = 5.0 m</t>
        </is>
      </c>
    </row>
    <row r="53">
      <c r="A53" s="7" t="inlineStr">
        <is>
          <t>Axle</t>
        </is>
      </c>
      <c r="B53" s="7" t="inlineStr">
        <is>
          <t>Position (m)</t>
        </is>
      </c>
      <c r="C53" s="7" t="inlineStr">
        <is>
          <t>Basic Load (kN)</t>
        </is>
      </c>
      <c r="D53" s="7" t="inlineStr">
        <is>
          <t>DAF</t>
        </is>
      </c>
      <c r="E53" s="7" t="inlineStr">
        <is>
          <t>Factored Load (kN)</t>
        </is>
      </c>
    </row>
    <row r="54">
      <c r="A54" t="n">
        <v>1</v>
      </c>
      <c r="B54" s="12" t="n">
        <v>0</v>
      </c>
      <c r="C54" s="11" t="n">
        <v>130</v>
      </c>
      <c r="D54" s="12" t="n">
        <v>1.16</v>
      </c>
      <c r="E54" s="12">
        <f>C54*D54</f>
        <v/>
      </c>
    </row>
    <row r="55">
      <c r="A55" t="n">
        <v>2</v>
      </c>
      <c r="B55" s="12" t="n">
        <v>1.2</v>
      </c>
      <c r="C55" s="11" t="n">
        <v>130</v>
      </c>
      <c r="D55" s="12" t="n">
        <v>1.16</v>
      </c>
      <c r="E55" s="12">
        <f>C55*D55</f>
        <v/>
      </c>
    </row>
    <row r="56">
      <c r="A56" t="n">
        <v>3</v>
      </c>
      <c r="B56" s="12" t="n">
        <v>2.4</v>
      </c>
      <c r="C56" s="11" t="n">
        <v>130</v>
      </c>
      <c r="D56" s="12" t="n">
        <v>1.16</v>
      </c>
      <c r="E56" s="12">
        <f>C56*D56</f>
        <v/>
      </c>
    </row>
    <row r="57">
      <c r="A57" t="n">
        <v>4</v>
      </c>
      <c r="B57" s="12" t="n">
        <v>7.4</v>
      </c>
      <c r="C57" s="11" t="n">
        <v>130</v>
      </c>
      <c r="D57" s="12" t="n">
        <v>1.16</v>
      </c>
      <c r="E57" s="12">
        <f>C57*D57</f>
        <v/>
      </c>
    </row>
    <row r="58">
      <c r="A58" t="n">
        <v>5</v>
      </c>
      <c r="B58" s="12" t="n">
        <v>8.6</v>
      </c>
      <c r="C58" s="11" t="n">
        <v>130</v>
      </c>
      <c r="D58" s="12" t="n">
        <v>1.16</v>
      </c>
      <c r="E58" s="12">
        <f>C58*D58</f>
        <v/>
      </c>
    </row>
    <row r="59">
      <c r="A59" t="n">
        <v>6</v>
      </c>
      <c r="B59" s="12" t="n">
        <v>9.800000000000001</v>
      </c>
      <c r="C59" s="11" t="n">
        <v>130</v>
      </c>
      <c r="D59" s="12" t="n">
        <v>1.16</v>
      </c>
      <c r="E59" s="12">
        <f>C59*D59</f>
        <v/>
      </c>
    </row>
    <row r="61">
      <c r="A61" s="7" t="inlineStr">
        <is>
          <t>Breakpoint candidate offset</t>
        </is>
      </c>
      <c r="B61" s="7" t="inlineStr">
        <is>
          <t>Offset (m)</t>
        </is>
      </c>
      <c r="C61" s="7" t="inlineStr">
        <is>
          <t>Total landed load at this offset (kN/m)</t>
        </is>
      </c>
    </row>
    <row r="62">
      <c r="A62" t="inlineStr">
        <is>
          <t>axle 1, right=0</t>
        </is>
      </c>
      <c r="B62" s="13">
        <f>-half_B-$B$54</f>
        <v/>
      </c>
      <c r="C62" s="12">
        <f>SUMPRODUCT($E$54:$E$59*(((((($B62+$B$54:$B$59+half_B)+B_ext-ABS(($B62+$B$54:$B$59+half_B)-B_ext))/2)-((($B62+$B$54:$B$59-half_B)+ABS(($B62+$B$54:$B$59-half_B)))/2))+ABS((((($B62+$B$54:$B$59+half_B)+B_ext-ABS(($B62+$B$54:$B$59+half_B)-B_ext))/2)-((($B62+$B$54:$B$59-half_B)+ABS(($B62+$B$54:$B$59-half_B)))/2))))/2))/disp_B/disp_LL</f>
        <v/>
      </c>
    </row>
    <row r="63">
      <c r="A63" t="inlineStr">
        <is>
          <t>axle 1, right=B_ext</t>
        </is>
      </c>
      <c r="B63" s="13">
        <f>B_ext-half_B-$B$54</f>
        <v/>
      </c>
      <c r="C63" s="12">
        <f>SUMPRODUCT($E$54:$E$59*(((((($B63+$B$54:$B$59+half_B)+B_ext-ABS(($B63+$B$54:$B$59+half_B)-B_ext))/2)-((($B63+$B$54:$B$59-half_B)+ABS(($B63+$B$54:$B$59-half_B)))/2))+ABS((((($B63+$B$54:$B$59+half_B)+B_ext-ABS(($B63+$B$54:$B$59+half_B)-B_ext))/2)-((($B63+$B$54:$B$59-half_B)+ABS(($B63+$B$54:$B$59-half_B)))/2))))/2))/disp_B/disp_LL</f>
        <v/>
      </c>
    </row>
    <row r="64">
      <c r="A64" t="inlineStr">
        <is>
          <t>axle 1, left=0</t>
        </is>
      </c>
      <c r="B64" s="13">
        <f>half_B-$B$54</f>
        <v/>
      </c>
      <c r="C64" s="12">
        <f>SUMPRODUCT($E$54:$E$59*(((((($B64+$B$54:$B$59+half_B)+B_ext-ABS(($B64+$B$54:$B$59+half_B)-B_ext))/2)-((($B64+$B$54:$B$59-half_B)+ABS(($B64+$B$54:$B$59-half_B)))/2))+ABS((((($B64+$B$54:$B$59+half_B)+B_ext-ABS(($B64+$B$54:$B$59+half_B)-B_ext))/2)-((($B64+$B$54:$B$59-half_B)+ABS(($B64+$B$54:$B$59-half_B)))/2))))/2))/disp_B/disp_LL</f>
        <v/>
      </c>
    </row>
    <row r="65">
      <c r="A65" t="inlineStr">
        <is>
          <t>axle 1, left=B_ext</t>
        </is>
      </c>
      <c r="B65" s="13">
        <f>B_ext+half_B-$B$54</f>
        <v/>
      </c>
      <c r="C65" s="12">
        <f>SUMPRODUCT($E$54:$E$59*(((((($B65+$B$54:$B$59+half_B)+B_ext-ABS(($B65+$B$54:$B$59+half_B)-B_ext))/2)-((($B65+$B$54:$B$59-half_B)+ABS(($B65+$B$54:$B$59-half_B)))/2))+ABS((((($B65+$B$54:$B$59+half_B)+B_ext-ABS(($B65+$B$54:$B$59+half_B)-B_ext))/2)-((($B65+$B$54:$B$59-half_B)+ABS(($B65+$B$54:$B$59-half_B)))/2))))/2))/disp_B/disp_LL</f>
        <v/>
      </c>
    </row>
    <row r="66">
      <c r="A66" t="inlineStr">
        <is>
          <t>axle 2, right=0</t>
        </is>
      </c>
      <c r="B66" s="13">
        <f>-half_B-$B$55</f>
        <v/>
      </c>
      <c r="C66" s="12">
        <f>SUMPRODUCT($E$54:$E$59*(((((($B66+$B$54:$B$59+half_B)+B_ext-ABS(($B66+$B$54:$B$59+half_B)-B_ext))/2)-((($B66+$B$54:$B$59-half_B)+ABS(($B66+$B$54:$B$59-half_B)))/2))+ABS((((($B66+$B$54:$B$59+half_B)+B_ext-ABS(($B66+$B$54:$B$59+half_B)-B_ext))/2)-((($B66+$B$54:$B$59-half_B)+ABS(($B66+$B$54:$B$59-half_B)))/2))))/2))/disp_B/disp_LL</f>
        <v/>
      </c>
    </row>
    <row r="67">
      <c r="A67" t="inlineStr">
        <is>
          <t>axle 2, right=B_ext</t>
        </is>
      </c>
      <c r="B67" s="13">
        <f>B_ext-half_B-$B$55</f>
        <v/>
      </c>
      <c r="C67" s="12">
        <f>SUMPRODUCT($E$54:$E$59*(((((($B67+$B$54:$B$59+half_B)+B_ext-ABS(($B67+$B$54:$B$59+half_B)-B_ext))/2)-((($B67+$B$54:$B$59-half_B)+ABS(($B67+$B$54:$B$59-half_B)))/2))+ABS((((($B67+$B$54:$B$59+half_B)+B_ext-ABS(($B67+$B$54:$B$59+half_B)-B_ext))/2)-((($B67+$B$54:$B$59-half_B)+ABS(($B67+$B$54:$B$59-half_B)))/2))))/2))/disp_B/disp_LL</f>
        <v/>
      </c>
    </row>
    <row r="68">
      <c r="A68" t="inlineStr">
        <is>
          <t>axle 2, left=0</t>
        </is>
      </c>
      <c r="B68" s="13">
        <f>half_B-$B$55</f>
        <v/>
      </c>
      <c r="C68" s="12">
        <f>SUMPRODUCT($E$54:$E$59*(((((($B68+$B$54:$B$59+half_B)+B_ext-ABS(($B68+$B$54:$B$59+half_B)-B_ext))/2)-((($B68+$B$54:$B$59-half_B)+ABS(($B68+$B$54:$B$59-half_B)))/2))+ABS((((($B68+$B$54:$B$59+half_B)+B_ext-ABS(($B68+$B$54:$B$59+half_B)-B_ext))/2)-((($B68+$B$54:$B$59-half_B)+ABS(($B68+$B$54:$B$59-half_B)))/2))))/2))/disp_B/disp_LL</f>
        <v/>
      </c>
    </row>
    <row r="69">
      <c r="A69" t="inlineStr">
        <is>
          <t>axle 2, left=B_ext</t>
        </is>
      </c>
      <c r="B69" s="13">
        <f>B_ext+half_B-$B$55</f>
        <v/>
      </c>
      <c r="C69" s="12">
        <f>SUMPRODUCT($E$54:$E$59*(((((($B69+$B$54:$B$59+half_B)+B_ext-ABS(($B69+$B$54:$B$59+half_B)-B_ext))/2)-((($B69+$B$54:$B$59-half_B)+ABS(($B69+$B$54:$B$59-half_B)))/2))+ABS((((($B69+$B$54:$B$59+half_B)+B_ext-ABS(($B69+$B$54:$B$59+half_B)-B_ext))/2)-((($B69+$B$54:$B$59-half_B)+ABS(($B69+$B$54:$B$59-half_B)))/2))))/2))/disp_B/disp_LL</f>
        <v/>
      </c>
    </row>
    <row r="70">
      <c r="A70" t="inlineStr">
        <is>
          <t>axle 3, right=0</t>
        </is>
      </c>
      <c r="B70" s="13">
        <f>-half_B-$B$56</f>
        <v/>
      </c>
      <c r="C70" s="12">
        <f>SUMPRODUCT($E$54:$E$59*(((((($B70+$B$54:$B$59+half_B)+B_ext-ABS(($B70+$B$54:$B$59+half_B)-B_ext))/2)-((($B70+$B$54:$B$59-half_B)+ABS(($B70+$B$54:$B$59-half_B)))/2))+ABS((((($B70+$B$54:$B$59+half_B)+B_ext-ABS(($B70+$B$54:$B$59+half_B)-B_ext))/2)-((($B70+$B$54:$B$59-half_B)+ABS(($B70+$B$54:$B$59-half_B)))/2))))/2))/disp_B/disp_LL</f>
        <v/>
      </c>
    </row>
    <row r="71">
      <c r="A71" t="inlineStr">
        <is>
          <t>axle 3, right=B_ext</t>
        </is>
      </c>
      <c r="B71" s="13">
        <f>B_ext-half_B-$B$56</f>
        <v/>
      </c>
      <c r="C71" s="12">
        <f>SUMPRODUCT($E$54:$E$59*(((((($B71+$B$54:$B$59+half_B)+B_ext-ABS(($B71+$B$54:$B$59+half_B)-B_ext))/2)-((($B71+$B$54:$B$59-half_B)+ABS(($B71+$B$54:$B$59-half_B)))/2))+ABS((((($B71+$B$54:$B$59+half_B)+B_ext-ABS(($B71+$B$54:$B$59+half_B)-B_ext))/2)-((($B71+$B$54:$B$59-half_B)+ABS(($B71+$B$54:$B$59-half_B)))/2))))/2))/disp_B/disp_LL</f>
        <v/>
      </c>
    </row>
    <row r="72">
      <c r="A72" t="inlineStr">
        <is>
          <t>axle 3, left=0</t>
        </is>
      </c>
      <c r="B72" s="13">
        <f>half_B-$B$56</f>
        <v/>
      </c>
      <c r="C72" s="12">
        <f>SUMPRODUCT($E$54:$E$59*(((((($B72+$B$54:$B$59+half_B)+B_ext-ABS(($B72+$B$54:$B$59+half_B)-B_ext))/2)-((($B72+$B$54:$B$59-half_B)+ABS(($B72+$B$54:$B$59-half_B)))/2))+ABS((((($B72+$B$54:$B$59+half_B)+B_ext-ABS(($B72+$B$54:$B$59+half_B)-B_ext))/2)-((($B72+$B$54:$B$59-half_B)+ABS(($B72+$B$54:$B$59-half_B)))/2))))/2))/disp_B/disp_LL</f>
        <v/>
      </c>
    </row>
    <row r="73">
      <c r="A73" t="inlineStr">
        <is>
          <t>axle 3, left=B_ext</t>
        </is>
      </c>
      <c r="B73" s="13">
        <f>B_ext+half_B-$B$56</f>
        <v/>
      </c>
      <c r="C73" s="12">
        <f>SUMPRODUCT($E$54:$E$59*(((((($B73+$B$54:$B$59+half_B)+B_ext-ABS(($B73+$B$54:$B$59+half_B)-B_ext))/2)-((($B73+$B$54:$B$59-half_B)+ABS(($B73+$B$54:$B$59-half_B)))/2))+ABS((((($B73+$B$54:$B$59+half_B)+B_ext-ABS(($B73+$B$54:$B$59+half_B)-B_ext))/2)-((($B73+$B$54:$B$59-half_B)+ABS(($B73+$B$54:$B$59-half_B)))/2))))/2))/disp_B/disp_LL</f>
        <v/>
      </c>
    </row>
    <row r="74">
      <c r="A74" t="inlineStr">
        <is>
          <t>axle 4, right=0</t>
        </is>
      </c>
      <c r="B74" s="13">
        <f>-half_B-$B$57</f>
        <v/>
      </c>
      <c r="C74" s="12">
        <f>SUMPRODUCT($E$54:$E$59*(((((($B74+$B$54:$B$59+half_B)+B_ext-ABS(($B74+$B$54:$B$59+half_B)-B_ext))/2)-((($B74+$B$54:$B$59-half_B)+ABS(($B74+$B$54:$B$59-half_B)))/2))+ABS((((($B74+$B$54:$B$59+half_B)+B_ext-ABS(($B74+$B$54:$B$59+half_B)-B_ext))/2)-((($B74+$B$54:$B$59-half_B)+ABS(($B74+$B$54:$B$59-half_B)))/2))))/2))/disp_B/disp_LL</f>
        <v/>
      </c>
    </row>
    <row r="75">
      <c r="A75" t="inlineStr">
        <is>
          <t>axle 4, right=B_ext</t>
        </is>
      </c>
      <c r="B75" s="13">
        <f>B_ext-half_B-$B$57</f>
        <v/>
      </c>
      <c r="C75" s="12">
        <f>SUMPRODUCT($E$54:$E$59*(((((($B75+$B$54:$B$59+half_B)+B_ext-ABS(($B75+$B$54:$B$59+half_B)-B_ext))/2)-((($B75+$B$54:$B$59-half_B)+ABS(($B75+$B$54:$B$59-half_B)))/2))+ABS((((($B75+$B$54:$B$59+half_B)+B_ext-ABS(($B75+$B$54:$B$59+half_B)-B_ext))/2)-((($B75+$B$54:$B$59-half_B)+ABS(($B75+$B$54:$B$59-half_B)))/2))))/2))/disp_B/disp_LL</f>
        <v/>
      </c>
    </row>
    <row r="76">
      <c r="A76" t="inlineStr">
        <is>
          <t>axle 4, left=0</t>
        </is>
      </c>
      <c r="B76" s="13">
        <f>half_B-$B$57</f>
        <v/>
      </c>
      <c r="C76" s="12">
        <f>SUMPRODUCT($E$54:$E$59*(((((($B76+$B$54:$B$59+half_B)+B_ext-ABS(($B76+$B$54:$B$59+half_B)-B_ext))/2)-((($B76+$B$54:$B$59-half_B)+ABS(($B76+$B$54:$B$59-half_B)))/2))+ABS((((($B76+$B$54:$B$59+half_B)+B_ext-ABS(($B76+$B$54:$B$59+half_B)-B_ext))/2)-((($B76+$B$54:$B$59-half_B)+ABS(($B76+$B$54:$B$59-half_B)))/2))))/2))/disp_B/disp_LL</f>
        <v/>
      </c>
    </row>
    <row r="77">
      <c r="A77" t="inlineStr">
        <is>
          <t>axle 4, left=B_ext</t>
        </is>
      </c>
      <c r="B77" s="13">
        <f>B_ext+half_B-$B$57</f>
        <v/>
      </c>
      <c r="C77" s="12">
        <f>SUMPRODUCT($E$54:$E$59*(((((($B77+$B$54:$B$59+half_B)+B_ext-ABS(($B77+$B$54:$B$59+half_B)-B_ext))/2)-((($B77+$B$54:$B$59-half_B)+ABS(($B77+$B$54:$B$59-half_B)))/2))+ABS((((($B77+$B$54:$B$59+half_B)+B_ext-ABS(($B77+$B$54:$B$59+half_B)-B_ext))/2)-((($B77+$B$54:$B$59-half_B)+ABS(($B77+$B$54:$B$59-half_B)))/2))))/2))/disp_B/disp_LL</f>
        <v/>
      </c>
    </row>
    <row r="78">
      <c r="A78" t="inlineStr">
        <is>
          <t>axle 5, right=0</t>
        </is>
      </c>
      <c r="B78" s="13">
        <f>-half_B-$B$58</f>
        <v/>
      </c>
      <c r="C78" s="12">
        <f>SUMPRODUCT($E$54:$E$59*(((((($B78+$B$54:$B$59+half_B)+B_ext-ABS(($B78+$B$54:$B$59+half_B)-B_ext))/2)-((($B78+$B$54:$B$59-half_B)+ABS(($B78+$B$54:$B$59-half_B)))/2))+ABS((((($B78+$B$54:$B$59+half_B)+B_ext-ABS(($B78+$B$54:$B$59+half_B)-B_ext))/2)-((($B78+$B$54:$B$59-half_B)+ABS(($B78+$B$54:$B$59-half_B)))/2))))/2))/disp_B/disp_LL</f>
        <v/>
      </c>
    </row>
    <row r="79">
      <c r="A79" t="inlineStr">
        <is>
          <t>axle 5, right=B_ext</t>
        </is>
      </c>
      <c r="B79" s="13">
        <f>B_ext-half_B-$B$58</f>
        <v/>
      </c>
      <c r="C79" s="12">
        <f>SUMPRODUCT($E$54:$E$59*(((((($B79+$B$54:$B$59+half_B)+B_ext-ABS(($B79+$B$54:$B$59+half_B)-B_ext))/2)-((($B79+$B$54:$B$59-half_B)+ABS(($B79+$B$54:$B$59-half_B)))/2))+ABS((((($B79+$B$54:$B$59+half_B)+B_ext-ABS(($B79+$B$54:$B$59+half_B)-B_ext))/2)-((($B79+$B$54:$B$59-half_B)+ABS(($B79+$B$54:$B$59-half_B)))/2))))/2))/disp_B/disp_LL</f>
        <v/>
      </c>
    </row>
    <row r="80">
      <c r="A80" t="inlineStr">
        <is>
          <t>axle 5, left=0</t>
        </is>
      </c>
      <c r="B80" s="13">
        <f>half_B-$B$58</f>
        <v/>
      </c>
      <c r="C80" s="12">
        <f>SUMPRODUCT($E$54:$E$59*(((((($B80+$B$54:$B$59+half_B)+B_ext-ABS(($B80+$B$54:$B$59+half_B)-B_ext))/2)-((($B80+$B$54:$B$59-half_B)+ABS(($B80+$B$54:$B$59-half_B)))/2))+ABS((((($B80+$B$54:$B$59+half_B)+B_ext-ABS(($B80+$B$54:$B$59+half_B)-B_ext))/2)-((($B80+$B$54:$B$59-half_B)+ABS(($B80+$B$54:$B$59-half_B)))/2))))/2))/disp_B/disp_LL</f>
        <v/>
      </c>
    </row>
    <row r="81">
      <c r="A81" t="inlineStr">
        <is>
          <t>axle 5, left=B_ext</t>
        </is>
      </c>
      <c r="B81" s="13">
        <f>B_ext+half_B-$B$58</f>
        <v/>
      </c>
      <c r="C81" s="12">
        <f>SUMPRODUCT($E$54:$E$59*(((((($B81+$B$54:$B$59+half_B)+B_ext-ABS(($B81+$B$54:$B$59+half_B)-B_ext))/2)-((($B81+$B$54:$B$59-half_B)+ABS(($B81+$B$54:$B$59-half_B)))/2))+ABS((((($B81+$B$54:$B$59+half_B)+B_ext-ABS(($B81+$B$54:$B$59+half_B)-B_ext))/2)-((($B81+$B$54:$B$59-half_B)+ABS(($B81+$B$54:$B$59-half_B)))/2))))/2))/disp_B/disp_LL</f>
        <v/>
      </c>
    </row>
    <row r="82">
      <c r="A82" t="inlineStr">
        <is>
          <t>axle 6, right=0</t>
        </is>
      </c>
      <c r="B82" s="13">
        <f>-half_B-$B$59</f>
        <v/>
      </c>
      <c r="C82" s="12">
        <f>SUMPRODUCT($E$54:$E$59*(((((($B82+$B$54:$B$59+half_B)+B_ext-ABS(($B82+$B$54:$B$59+half_B)-B_ext))/2)-((($B82+$B$54:$B$59-half_B)+ABS(($B82+$B$54:$B$59-half_B)))/2))+ABS((((($B82+$B$54:$B$59+half_B)+B_ext-ABS(($B82+$B$54:$B$59+half_B)-B_ext))/2)-((($B82+$B$54:$B$59-half_B)+ABS(($B82+$B$54:$B$59-half_B)))/2))))/2))/disp_B/disp_LL</f>
        <v/>
      </c>
    </row>
    <row r="83">
      <c r="A83" t="inlineStr">
        <is>
          <t>axle 6, right=B_ext</t>
        </is>
      </c>
      <c r="B83" s="13">
        <f>B_ext-half_B-$B$59</f>
        <v/>
      </c>
      <c r="C83" s="12">
        <f>SUMPRODUCT($E$54:$E$59*(((((($B83+$B$54:$B$59+half_B)+B_ext-ABS(($B83+$B$54:$B$59+half_B)-B_ext))/2)-((($B83+$B$54:$B$59-half_B)+ABS(($B83+$B$54:$B$59-half_B)))/2))+ABS((((($B83+$B$54:$B$59+half_B)+B_ext-ABS(($B83+$B$54:$B$59+half_B)-B_ext))/2)-((($B83+$B$54:$B$59-half_B)+ABS(($B83+$B$54:$B$59-half_B)))/2))))/2))/disp_B/disp_LL</f>
        <v/>
      </c>
    </row>
    <row r="84">
      <c r="A84" t="inlineStr">
        <is>
          <t>axle 6, left=0</t>
        </is>
      </c>
      <c r="B84" s="13">
        <f>half_B-$B$59</f>
        <v/>
      </c>
      <c r="C84" s="12">
        <f>SUMPRODUCT($E$54:$E$59*(((((($B84+$B$54:$B$59+half_B)+B_ext-ABS(($B84+$B$54:$B$59+half_B)-B_ext))/2)-((($B84+$B$54:$B$59-half_B)+ABS(($B84+$B$54:$B$59-half_B)))/2))+ABS((((($B84+$B$54:$B$59+half_B)+B_ext-ABS(($B84+$B$54:$B$59+half_B)-B_ext))/2)-((($B84+$B$54:$B$59-half_B)+ABS(($B84+$B$54:$B$59-half_B)))/2))))/2))/disp_B/disp_LL</f>
        <v/>
      </c>
    </row>
    <row r="85">
      <c r="A85" t="inlineStr">
        <is>
          <t>axle 6, left=B_ext</t>
        </is>
      </c>
      <c r="B85" s="13">
        <f>B_ext+half_B-$B$59</f>
        <v/>
      </c>
      <c r="C85" s="12">
        <f>SUMPRODUCT($E$54:$E$59*(((((($B85+$B$54:$B$59+half_B)+B_ext-ABS(($B85+$B$54:$B$59+half_B)-B_ext))/2)-((($B85+$B$54:$B$59-half_B)+ABS(($B85+$B$54:$B$59-half_B)))/2))+ABS((((($B85+$B$54:$B$59+half_B)+B_ext-ABS(($B85+$B$54:$B$59+half_B)-B_ext))/2)-((($B85+$B$54:$B$59-half_B)+ABS(($B85+$B$54:$B$59-half_B)))/2))))/2))/disp_B/disp_LL</f>
        <v/>
      </c>
    </row>
    <row r="87">
      <c r="A87" t="inlineStr">
        <is>
          <t>SV80 block max, gap=5.0m (kN/m)</t>
        </is>
      </c>
      <c r="B87" s="12">
        <f>MAX(C62:C85)</f>
        <v/>
      </c>
    </row>
    <row r="89">
      <c r="A89" s="16" t="inlineStr">
        <is>
          <t>SV80 — inter-group gap = 9.0 m</t>
        </is>
      </c>
    </row>
    <row r="90">
      <c r="A90" s="7" t="inlineStr">
        <is>
          <t>Axle</t>
        </is>
      </c>
      <c r="B90" s="7" t="inlineStr">
        <is>
          <t>Position (m)</t>
        </is>
      </c>
      <c r="C90" s="7" t="inlineStr">
        <is>
          <t>Basic Load (kN)</t>
        </is>
      </c>
      <c r="D90" s="7" t="inlineStr">
        <is>
          <t>DAF</t>
        </is>
      </c>
      <c r="E90" s="7" t="inlineStr">
        <is>
          <t>Factored Load (kN)</t>
        </is>
      </c>
    </row>
    <row r="91">
      <c r="A91" t="n">
        <v>1</v>
      </c>
      <c r="B91" s="12" t="n">
        <v>0</v>
      </c>
      <c r="C91" s="11" t="n">
        <v>130</v>
      </c>
      <c r="D91" s="12" t="n">
        <v>1.16</v>
      </c>
      <c r="E91" s="12">
        <f>C91*D91</f>
        <v/>
      </c>
    </row>
    <row r="92">
      <c r="A92" t="n">
        <v>2</v>
      </c>
      <c r="B92" s="12" t="n">
        <v>1.2</v>
      </c>
      <c r="C92" s="11" t="n">
        <v>130</v>
      </c>
      <c r="D92" s="12" t="n">
        <v>1.16</v>
      </c>
      <c r="E92" s="12">
        <f>C92*D92</f>
        <v/>
      </c>
    </row>
    <row r="93">
      <c r="A93" t="n">
        <v>3</v>
      </c>
      <c r="B93" s="12" t="n">
        <v>2.4</v>
      </c>
      <c r="C93" s="11" t="n">
        <v>130</v>
      </c>
      <c r="D93" s="12" t="n">
        <v>1.16</v>
      </c>
      <c r="E93" s="12">
        <f>C93*D93</f>
        <v/>
      </c>
    </row>
    <row r="94">
      <c r="A94" t="n">
        <v>4</v>
      </c>
      <c r="B94" s="12" t="n">
        <v>11.4</v>
      </c>
      <c r="C94" s="11" t="n">
        <v>130</v>
      </c>
      <c r="D94" s="12" t="n">
        <v>1.16</v>
      </c>
      <c r="E94" s="12">
        <f>C94*D94</f>
        <v/>
      </c>
    </row>
    <row r="95">
      <c r="A95" t="n">
        <v>5</v>
      </c>
      <c r="B95" s="12" t="n">
        <v>12.6</v>
      </c>
      <c r="C95" s="11" t="n">
        <v>130</v>
      </c>
      <c r="D95" s="12" t="n">
        <v>1.16</v>
      </c>
      <c r="E95" s="12">
        <f>C95*D95</f>
        <v/>
      </c>
    </row>
    <row r="96">
      <c r="A96" t="n">
        <v>6</v>
      </c>
      <c r="B96" s="12" t="n">
        <v>13.8</v>
      </c>
      <c r="C96" s="11" t="n">
        <v>130</v>
      </c>
      <c r="D96" s="12" t="n">
        <v>1.16</v>
      </c>
      <c r="E96" s="12">
        <f>C96*D96</f>
        <v/>
      </c>
    </row>
    <row r="98">
      <c r="A98" s="7" t="inlineStr">
        <is>
          <t>Breakpoint candidate offset</t>
        </is>
      </c>
      <c r="B98" s="7" t="inlineStr">
        <is>
          <t>Offset (m)</t>
        </is>
      </c>
      <c r="C98" s="7" t="inlineStr">
        <is>
          <t>Total landed load at this offset (kN/m)</t>
        </is>
      </c>
    </row>
    <row r="99">
      <c r="A99" t="inlineStr">
        <is>
          <t>axle 1, right=0</t>
        </is>
      </c>
      <c r="B99" s="13">
        <f>-half_B-$B$91</f>
        <v/>
      </c>
      <c r="C99" s="12">
        <f>SUMPRODUCT($E$91:$E$96*(((((($B99+$B$91:$B$96+half_B)+B_ext-ABS(($B99+$B$91:$B$96+half_B)-B_ext))/2)-((($B99+$B$91:$B$96-half_B)+ABS(($B99+$B$91:$B$96-half_B)))/2))+ABS((((($B99+$B$91:$B$96+half_B)+B_ext-ABS(($B99+$B$91:$B$96+half_B)-B_ext))/2)-((($B99+$B$91:$B$96-half_B)+ABS(($B99+$B$91:$B$96-half_B)))/2))))/2))/disp_B/disp_LL</f>
        <v/>
      </c>
    </row>
    <row r="100">
      <c r="A100" t="inlineStr">
        <is>
          <t>axle 1, right=B_ext</t>
        </is>
      </c>
      <c r="B100" s="13">
        <f>B_ext-half_B-$B$91</f>
        <v/>
      </c>
      <c r="C100" s="12">
        <f>SUMPRODUCT($E$91:$E$96*(((((($B100+$B$91:$B$96+half_B)+B_ext-ABS(($B100+$B$91:$B$96+half_B)-B_ext))/2)-((($B100+$B$91:$B$96-half_B)+ABS(($B100+$B$91:$B$96-half_B)))/2))+ABS((((($B100+$B$91:$B$96+half_B)+B_ext-ABS(($B100+$B$91:$B$96+half_B)-B_ext))/2)-((($B100+$B$91:$B$96-half_B)+ABS(($B100+$B$91:$B$96-half_B)))/2))))/2))/disp_B/disp_LL</f>
        <v/>
      </c>
    </row>
    <row r="101">
      <c r="A101" t="inlineStr">
        <is>
          <t>axle 1, left=0</t>
        </is>
      </c>
      <c r="B101" s="13">
        <f>half_B-$B$91</f>
        <v/>
      </c>
      <c r="C101" s="12">
        <f>SUMPRODUCT($E$91:$E$96*(((((($B101+$B$91:$B$96+half_B)+B_ext-ABS(($B101+$B$91:$B$96+half_B)-B_ext))/2)-((($B101+$B$91:$B$96-half_B)+ABS(($B101+$B$91:$B$96-half_B)))/2))+ABS((((($B101+$B$91:$B$96+half_B)+B_ext-ABS(($B101+$B$91:$B$96+half_B)-B_ext))/2)-((($B101+$B$91:$B$96-half_B)+ABS(($B101+$B$91:$B$96-half_B)))/2))))/2))/disp_B/disp_LL</f>
        <v/>
      </c>
    </row>
    <row r="102">
      <c r="A102" t="inlineStr">
        <is>
          <t>axle 1, left=B_ext</t>
        </is>
      </c>
      <c r="B102" s="13">
        <f>B_ext+half_B-$B$91</f>
        <v/>
      </c>
      <c r="C102" s="12">
        <f>SUMPRODUCT($E$91:$E$96*(((((($B102+$B$91:$B$96+half_B)+B_ext-ABS(($B102+$B$91:$B$96+half_B)-B_ext))/2)-((($B102+$B$91:$B$96-half_B)+ABS(($B102+$B$91:$B$96-half_B)))/2))+ABS((((($B102+$B$91:$B$96+half_B)+B_ext-ABS(($B102+$B$91:$B$96+half_B)-B_ext))/2)-((($B102+$B$91:$B$96-half_B)+ABS(($B102+$B$91:$B$96-half_B)))/2))))/2))/disp_B/disp_LL</f>
        <v/>
      </c>
    </row>
    <row r="103">
      <c r="A103" t="inlineStr">
        <is>
          <t>axle 2, right=0</t>
        </is>
      </c>
      <c r="B103" s="13">
        <f>-half_B-$B$92</f>
        <v/>
      </c>
      <c r="C103" s="12">
        <f>SUMPRODUCT($E$91:$E$96*(((((($B103+$B$91:$B$96+half_B)+B_ext-ABS(($B103+$B$91:$B$96+half_B)-B_ext))/2)-((($B103+$B$91:$B$96-half_B)+ABS(($B103+$B$91:$B$96-half_B)))/2))+ABS((((($B103+$B$91:$B$96+half_B)+B_ext-ABS(($B103+$B$91:$B$96+half_B)-B_ext))/2)-((($B103+$B$91:$B$96-half_B)+ABS(($B103+$B$91:$B$96-half_B)))/2))))/2))/disp_B/disp_LL</f>
        <v/>
      </c>
    </row>
    <row r="104">
      <c r="A104" t="inlineStr">
        <is>
          <t>axle 2, right=B_ext</t>
        </is>
      </c>
      <c r="B104" s="13">
        <f>B_ext-half_B-$B$92</f>
        <v/>
      </c>
      <c r="C104" s="12">
        <f>SUMPRODUCT($E$91:$E$96*(((((($B104+$B$91:$B$96+half_B)+B_ext-ABS(($B104+$B$91:$B$96+half_B)-B_ext))/2)-((($B104+$B$91:$B$96-half_B)+ABS(($B104+$B$91:$B$96-half_B)))/2))+ABS((((($B104+$B$91:$B$96+half_B)+B_ext-ABS(($B104+$B$91:$B$96+half_B)-B_ext))/2)-((($B104+$B$91:$B$96-half_B)+ABS(($B104+$B$91:$B$96-half_B)))/2))))/2))/disp_B/disp_LL</f>
        <v/>
      </c>
    </row>
    <row r="105">
      <c r="A105" t="inlineStr">
        <is>
          <t>axle 2, left=0</t>
        </is>
      </c>
      <c r="B105" s="13">
        <f>half_B-$B$92</f>
        <v/>
      </c>
      <c r="C105" s="12">
        <f>SUMPRODUCT($E$91:$E$96*(((((($B105+$B$91:$B$96+half_B)+B_ext-ABS(($B105+$B$91:$B$96+half_B)-B_ext))/2)-((($B105+$B$91:$B$96-half_B)+ABS(($B105+$B$91:$B$96-half_B)))/2))+ABS((((($B105+$B$91:$B$96+half_B)+B_ext-ABS(($B105+$B$91:$B$96+half_B)-B_ext))/2)-((($B105+$B$91:$B$96-half_B)+ABS(($B105+$B$91:$B$96-half_B)))/2))))/2))/disp_B/disp_LL</f>
        <v/>
      </c>
    </row>
    <row r="106">
      <c r="A106" t="inlineStr">
        <is>
          <t>axle 2, left=B_ext</t>
        </is>
      </c>
      <c r="B106" s="13">
        <f>B_ext+half_B-$B$92</f>
        <v/>
      </c>
      <c r="C106" s="12">
        <f>SUMPRODUCT($E$91:$E$96*(((((($B106+$B$91:$B$96+half_B)+B_ext-ABS(($B106+$B$91:$B$96+half_B)-B_ext))/2)-((($B106+$B$91:$B$96-half_B)+ABS(($B106+$B$91:$B$96-half_B)))/2))+ABS((((($B106+$B$91:$B$96+half_B)+B_ext-ABS(($B106+$B$91:$B$96+half_B)-B_ext))/2)-((($B106+$B$91:$B$96-half_B)+ABS(($B106+$B$91:$B$96-half_B)))/2))))/2))/disp_B/disp_LL</f>
        <v/>
      </c>
    </row>
    <row r="107">
      <c r="A107" t="inlineStr">
        <is>
          <t>axle 3, right=0</t>
        </is>
      </c>
      <c r="B107" s="13">
        <f>-half_B-$B$93</f>
        <v/>
      </c>
      <c r="C107" s="12">
        <f>SUMPRODUCT($E$91:$E$96*(((((($B107+$B$91:$B$96+half_B)+B_ext-ABS(($B107+$B$91:$B$96+half_B)-B_ext))/2)-((($B107+$B$91:$B$96-half_B)+ABS(($B107+$B$91:$B$96-half_B)))/2))+ABS((((($B107+$B$91:$B$96+half_B)+B_ext-ABS(($B107+$B$91:$B$96+half_B)-B_ext))/2)-((($B107+$B$91:$B$96-half_B)+ABS(($B107+$B$91:$B$96-half_B)))/2))))/2))/disp_B/disp_LL</f>
        <v/>
      </c>
    </row>
    <row r="108">
      <c r="A108" t="inlineStr">
        <is>
          <t>axle 3, right=B_ext</t>
        </is>
      </c>
      <c r="B108" s="13">
        <f>B_ext-half_B-$B$93</f>
        <v/>
      </c>
      <c r="C108" s="12">
        <f>SUMPRODUCT($E$91:$E$96*(((((($B108+$B$91:$B$96+half_B)+B_ext-ABS(($B108+$B$91:$B$96+half_B)-B_ext))/2)-((($B108+$B$91:$B$96-half_B)+ABS(($B108+$B$91:$B$96-half_B)))/2))+ABS((((($B108+$B$91:$B$96+half_B)+B_ext-ABS(($B108+$B$91:$B$96+half_B)-B_ext))/2)-((($B108+$B$91:$B$96-half_B)+ABS(($B108+$B$91:$B$96-half_B)))/2))))/2))/disp_B/disp_LL</f>
        <v/>
      </c>
    </row>
    <row r="109">
      <c r="A109" t="inlineStr">
        <is>
          <t>axle 3, left=0</t>
        </is>
      </c>
      <c r="B109" s="13">
        <f>half_B-$B$93</f>
        <v/>
      </c>
      <c r="C109" s="12">
        <f>SUMPRODUCT($E$91:$E$96*(((((($B109+$B$91:$B$96+half_B)+B_ext-ABS(($B109+$B$91:$B$96+half_B)-B_ext))/2)-((($B109+$B$91:$B$96-half_B)+ABS(($B109+$B$91:$B$96-half_B)))/2))+ABS((((($B109+$B$91:$B$96+half_B)+B_ext-ABS(($B109+$B$91:$B$96+half_B)-B_ext))/2)-((($B109+$B$91:$B$96-half_B)+ABS(($B109+$B$91:$B$96-half_B)))/2))))/2))/disp_B/disp_LL</f>
        <v/>
      </c>
    </row>
    <row r="110">
      <c r="A110" t="inlineStr">
        <is>
          <t>axle 3, left=B_ext</t>
        </is>
      </c>
      <c r="B110" s="13">
        <f>B_ext+half_B-$B$93</f>
        <v/>
      </c>
      <c r="C110" s="12">
        <f>SUMPRODUCT($E$91:$E$96*(((((($B110+$B$91:$B$96+half_B)+B_ext-ABS(($B110+$B$91:$B$96+half_B)-B_ext))/2)-((($B110+$B$91:$B$96-half_B)+ABS(($B110+$B$91:$B$96-half_B)))/2))+ABS((((($B110+$B$91:$B$96+half_B)+B_ext-ABS(($B110+$B$91:$B$96+half_B)-B_ext))/2)-((($B110+$B$91:$B$96-half_B)+ABS(($B110+$B$91:$B$96-half_B)))/2))))/2))/disp_B/disp_LL</f>
        <v/>
      </c>
    </row>
    <row r="111">
      <c r="A111" t="inlineStr">
        <is>
          <t>axle 4, right=0</t>
        </is>
      </c>
      <c r="B111" s="13">
        <f>-half_B-$B$94</f>
        <v/>
      </c>
      <c r="C111" s="12">
        <f>SUMPRODUCT($E$91:$E$96*(((((($B111+$B$91:$B$96+half_B)+B_ext-ABS(($B111+$B$91:$B$96+half_B)-B_ext))/2)-((($B111+$B$91:$B$96-half_B)+ABS(($B111+$B$91:$B$96-half_B)))/2))+ABS((((($B111+$B$91:$B$96+half_B)+B_ext-ABS(($B111+$B$91:$B$96+half_B)-B_ext))/2)-((($B111+$B$91:$B$96-half_B)+ABS(($B111+$B$91:$B$96-half_B)))/2))))/2))/disp_B/disp_LL</f>
        <v/>
      </c>
    </row>
    <row r="112">
      <c r="A112" t="inlineStr">
        <is>
          <t>axle 4, right=B_ext</t>
        </is>
      </c>
      <c r="B112" s="13">
        <f>B_ext-half_B-$B$94</f>
        <v/>
      </c>
      <c r="C112" s="12">
        <f>SUMPRODUCT($E$91:$E$96*(((((($B112+$B$91:$B$96+half_B)+B_ext-ABS(($B112+$B$91:$B$96+half_B)-B_ext))/2)-((($B112+$B$91:$B$96-half_B)+ABS(($B112+$B$91:$B$96-half_B)))/2))+ABS((((($B112+$B$91:$B$96+half_B)+B_ext-ABS(($B112+$B$91:$B$96+half_B)-B_ext))/2)-((($B112+$B$91:$B$96-half_B)+ABS(($B112+$B$91:$B$96-half_B)))/2))))/2))/disp_B/disp_LL</f>
        <v/>
      </c>
    </row>
    <row r="113">
      <c r="A113" t="inlineStr">
        <is>
          <t>axle 4, left=0</t>
        </is>
      </c>
      <c r="B113" s="13">
        <f>half_B-$B$94</f>
        <v/>
      </c>
      <c r="C113" s="12">
        <f>SUMPRODUCT($E$91:$E$96*(((((($B113+$B$91:$B$96+half_B)+B_ext-ABS(($B113+$B$91:$B$96+half_B)-B_ext))/2)-((($B113+$B$91:$B$96-half_B)+ABS(($B113+$B$91:$B$96-half_B)))/2))+ABS((((($B113+$B$91:$B$96+half_B)+B_ext-ABS(($B113+$B$91:$B$96+half_B)-B_ext))/2)-((($B113+$B$91:$B$96-half_B)+ABS(($B113+$B$91:$B$96-half_B)))/2))))/2))/disp_B/disp_LL</f>
        <v/>
      </c>
    </row>
    <row r="114">
      <c r="A114" t="inlineStr">
        <is>
          <t>axle 4, left=B_ext</t>
        </is>
      </c>
      <c r="B114" s="13">
        <f>B_ext+half_B-$B$94</f>
        <v/>
      </c>
      <c r="C114" s="12">
        <f>SUMPRODUCT($E$91:$E$96*(((((($B114+$B$91:$B$96+half_B)+B_ext-ABS(($B114+$B$91:$B$96+half_B)-B_ext))/2)-((($B114+$B$91:$B$96-half_B)+ABS(($B114+$B$91:$B$96-half_B)))/2))+ABS((((($B114+$B$91:$B$96+half_B)+B_ext-ABS(($B114+$B$91:$B$96+half_B)-B_ext))/2)-((($B114+$B$91:$B$96-half_B)+ABS(($B114+$B$91:$B$96-half_B)))/2))))/2))/disp_B/disp_LL</f>
        <v/>
      </c>
    </row>
    <row r="115">
      <c r="A115" t="inlineStr">
        <is>
          <t>axle 5, right=0</t>
        </is>
      </c>
      <c r="B115" s="13">
        <f>-half_B-$B$95</f>
        <v/>
      </c>
      <c r="C115" s="12">
        <f>SUMPRODUCT($E$91:$E$96*(((((($B115+$B$91:$B$96+half_B)+B_ext-ABS(($B115+$B$91:$B$96+half_B)-B_ext))/2)-((($B115+$B$91:$B$96-half_B)+ABS(($B115+$B$91:$B$96-half_B)))/2))+ABS((((($B115+$B$91:$B$96+half_B)+B_ext-ABS(($B115+$B$91:$B$96+half_B)-B_ext))/2)-((($B115+$B$91:$B$96-half_B)+ABS(($B115+$B$91:$B$96-half_B)))/2))))/2))/disp_B/disp_LL</f>
        <v/>
      </c>
    </row>
    <row r="116">
      <c r="A116" t="inlineStr">
        <is>
          <t>axle 5, right=B_ext</t>
        </is>
      </c>
      <c r="B116" s="13">
        <f>B_ext-half_B-$B$95</f>
        <v/>
      </c>
      <c r="C116" s="12">
        <f>SUMPRODUCT($E$91:$E$96*(((((($B116+$B$91:$B$96+half_B)+B_ext-ABS(($B116+$B$91:$B$96+half_B)-B_ext))/2)-((($B116+$B$91:$B$96-half_B)+ABS(($B116+$B$91:$B$96-half_B)))/2))+ABS((((($B116+$B$91:$B$96+half_B)+B_ext-ABS(($B116+$B$91:$B$96+half_B)-B_ext))/2)-((($B116+$B$91:$B$96-half_B)+ABS(($B116+$B$91:$B$96-half_B)))/2))))/2))/disp_B/disp_LL</f>
        <v/>
      </c>
    </row>
    <row r="117">
      <c r="A117" t="inlineStr">
        <is>
          <t>axle 5, left=0</t>
        </is>
      </c>
      <c r="B117" s="13">
        <f>half_B-$B$95</f>
        <v/>
      </c>
      <c r="C117" s="12">
        <f>SUMPRODUCT($E$91:$E$96*(((((($B117+$B$91:$B$96+half_B)+B_ext-ABS(($B117+$B$91:$B$96+half_B)-B_ext))/2)-((($B117+$B$91:$B$96-half_B)+ABS(($B117+$B$91:$B$96-half_B)))/2))+ABS((((($B117+$B$91:$B$96+half_B)+B_ext-ABS(($B117+$B$91:$B$96+half_B)-B_ext))/2)-((($B117+$B$91:$B$96-half_B)+ABS(($B117+$B$91:$B$96-half_B)))/2))))/2))/disp_B/disp_LL</f>
        <v/>
      </c>
    </row>
    <row r="118">
      <c r="A118" t="inlineStr">
        <is>
          <t>axle 5, left=B_ext</t>
        </is>
      </c>
      <c r="B118" s="13">
        <f>B_ext+half_B-$B$95</f>
        <v/>
      </c>
      <c r="C118" s="12">
        <f>SUMPRODUCT($E$91:$E$96*(((((($B118+$B$91:$B$96+half_B)+B_ext-ABS(($B118+$B$91:$B$96+half_B)-B_ext))/2)-((($B118+$B$91:$B$96-half_B)+ABS(($B118+$B$91:$B$96-half_B)))/2))+ABS((((($B118+$B$91:$B$96+half_B)+B_ext-ABS(($B118+$B$91:$B$96+half_B)-B_ext))/2)-((($B118+$B$91:$B$96-half_B)+ABS(($B118+$B$91:$B$96-half_B)))/2))))/2))/disp_B/disp_LL</f>
        <v/>
      </c>
    </row>
    <row r="119">
      <c r="A119" t="inlineStr">
        <is>
          <t>axle 6, right=0</t>
        </is>
      </c>
      <c r="B119" s="13">
        <f>-half_B-$B$96</f>
        <v/>
      </c>
      <c r="C119" s="12">
        <f>SUMPRODUCT($E$91:$E$96*(((((($B119+$B$91:$B$96+half_B)+B_ext-ABS(($B119+$B$91:$B$96+half_B)-B_ext))/2)-((($B119+$B$91:$B$96-half_B)+ABS(($B119+$B$91:$B$96-half_B)))/2))+ABS((((($B119+$B$91:$B$96+half_B)+B_ext-ABS(($B119+$B$91:$B$96+half_B)-B_ext))/2)-((($B119+$B$91:$B$96-half_B)+ABS(($B119+$B$91:$B$96-half_B)))/2))))/2))/disp_B/disp_LL</f>
        <v/>
      </c>
    </row>
    <row r="120">
      <c r="A120" t="inlineStr">
        <is>
          <t>axle 6, right=B_ext</t>
        </is>
      </c>
      <c r="B120" s="13">
        <f>B_ext-half_B-$B$96</f>
        <v/>
      </c>
      <c r="C120" s="12">
        <f>SUMPRODUCT($E$91:$E$96*(((((($B120+$B$91:$B$96+half_B)+B_ext-ABS(($B120+$B$91:$B$96+half_B)-B_ext))/2)-((($B120+$B$91:$B$96-half_B)+ABS(($B120+$B$91:$B$96-half_B)))/2))+ABS((((($B120+$B$91:$B$96+half_B)+B_ext-ABS(($B120+$B$91:$B$96+half_B)-B_ext))/2)-((($B120+$B$91:$B$96-half_B)+ABS(($B120+$B$91:$B$96-half_B)))/2))))/2))/disp_B/disp_LL</f>
        <v/>
      </c>
    </row>
    <row r="121">
      <c r="A121" t="inlineStr">
        <is>
          <t>axle 6, left=0</t>
        </is>
      </c>
      <c r="B121" s="13">
        <f>half_B-$B$96</f>
        <v/>
      </c>
      <c r="C121" s="12">
        <f>SUMPRODUCT($E$91:$E$96*(((((($B121+$B$91:$B$96+half_B)+B_ext-ABS(($B121+$B$91:$B$96+half_B)-B_ext))/2)-((($B121+$B$91:$B$96-half_B)+ABS(($B121+$B$91:$B$96-half_B)))/2))+ABS((((($B121+$B$91:$B$96+half_B)+B_ext-ABS(($B121+$B$91:$B$96+half_B)-B_ext))/2)-((($B121+$B$91:$B$96-half_B)+ABS(($B121+$B$91:$B$96-half_B)))/2))))/2))/disp_B/disp_LL</f>
        <v/>
      </c>
    </row>
    <row r="122">
      <c r="A122" t="inlineStr">
        <is>
          <t>axle 6, left=B_ext</t>
        </is>
      </c>
      <c r="B122" s="13">
        <f>B_ext+half_B-$B$96</f>
        <v/>
      </c>
      <c r="C122" s="12">
        <f>SUMPRODUCT($E$91:$E$96*(((((($B122+$B$91:$B$96+half_B)+B_ext-ABS(($B122+$B$91:$B$96+half_B)-B_ext))/2)-((($B122+$B$91:$B$96-half_B)+ABS(($B122+$B$91:$B$96-half_B)))/2))+ABS((((($B122+$B$91:$B$96+half_B)+B_ext-ABS(($B122+$B$91:$B$96+half_B)-B_ext))/2)-((($B122+$B$91:$B$96-half_B)+ABS(($B122+$B$91:$B$96-half_B)))/2))))/2))/disp_B/disp_LL</f>
        <v/>
      </c>
    </row>
    <row r="124">
      <c r="A124" t="inlineStr">
        <is>
          <t>SV80 block max, gap=9.0m (kN/m)</t>
        </is>
      </c>
      <c r="B124" s="12">
        <f>MAX(C99:C122)</f>
        <v/>
      </c>
    </row>
    <row r="126">
      <c r="A126" t="inlineStr">
        <is>
          <t>SV80 governing (max over all 3 gaps), kN/m</t>
        </is>
      </c>
      <c r="B126" s="12">
        <f>MAX('LM3'!$B$50,'LM3'!$B$87,'LM3'!$B$124)</f>
        <v/>
      </c>
    </row>
    <row r="128">
      <c r="A128" s="3" t="inlineStr">
        <is>
          <t>Worst-Case Position — SV100</t>
        </is>
      </c>
      <c r="B128" s="4" t="n"/>
      <c r="C128" s="4" t="n"/>
      <c r="D128" s="4" t="n"/>
      <c r="E128" s="4" t="n"/>
      <c r="F128" s="4" t="n"/>
    </row>
    <row r="129">
      <c r="A129" s="16" t="inlineStr">
        <is>
          <t>SV100 — inter-group gap = 1.2 m</t>
        </is>
      </c>
    </row>
    <row r="130">
      <c r="A130" s="7" t="inlineStr">
        <is>
          <t>Axle</t>
        </is>
      </c>
      <c r="B130" s="7" t="inlineStr">
        <is>
          <t>Position (m)</t>
        </is>
      </c>
      <c r="C130" s="7" t="inlineStr">
        <is>
          <t>Basic Load (kN)</t>
        </is>
      </c>
      <c r="D130" s="7" t="inlineStr">
        <is>
          <t>DAF</t>
        </is>
      </c>
      <c r="E130" s="7" t="inlineStr">
        <is>
          <t>Factored Load (kN)</t>
        </is>
      </c>
    </row>
    <row r="131">
      <c r="A131" t="n">
        <v>1</v>
      </c>
      <c r="B131" s="12" t="n">
        <v>0</v>
      </c>
      <c r="C131" s="11" t="n">
        <v>165</v>
      </c>
      <c r="D131" s="12" t="n">
        <v>1.12</v>
      </c>
      <c r="E131" s="12">
        <f>C131*D131</f>
        <v/>
      </c>
    </row>
    <row r="132">
      <c r="A132" t="n">
        <v>2</v>
      </c>
      <c r="B132" s="12" t="n">
        <v>1.2</v>
      </c>
      <c r="C132" s="11" t="n">
        <v>165</v>
      </c>
      <c r="D132" s="12" t="n">
        <v>1.12</v>
      </c>
      <c r="E132" s="12">
        <f>C132*D132</f>
        <v/>
      </c>
    </row>
    <row r="133">
      <c r="A133" t="n">
        <v>3</v>
      </c>
      <c r="B133" s="12" t="n">
        <v>2.4</v>
      </c>
      <c r="C133" s="11" t="n">
        <v>165</v>
      </c>
      <c r="D133" s="12" t="n">
        <v>1.12</v>
      </c>
      <c r="E133" s="12">
        <f>C133*D133</f>
        <v/>
      </c>
    </row>
    <row r="134">
      <c r="A134" t="n">
        <v>4</v>
      </c>
      <c r="B134" s="12" t="n">
        <v>3.6</v>
      </c>
      <c r="C134" s="11" t="n">
        <v>165</v>
      </c>
      <c r="D134" s="12" t="n">
        <v>1.12</v>
      </c>
      <c r="E134" s="12">
        <f>C134*D134</f>
        <v/>
      </c>
    </row>
    <row r="135">
      <c r="A135" t="n">
        <v>5</v>
      </c>
      <c r="B135" s="12" t="n">
        <v>4.8</v>
      </c>
      <c r="C135" s="11" t="n">
        <v>165</v>
      </c>
      <c r="D135" s="12" t="n">
        <v>1.12</v>
      </c>
      <c r="E135" s="12">
        <f>C135*D135</f>
        <v/>
      </c>
    </row>
    <row r="136">
      <c r="A136" t="n">
        <v>6</v>
      </c>
      <c r="B136" s="12" t="n">
        <v>6</v>
      </c>
      <c r="C136" s="11" t="n">
        <v>165</v>
      </c>
      <c r="D136" s="12" t="n">
        <v>1.12</v>
      </c>
      <c r="E136" s="12">
        <f>C136*D136</f>
        <v/>
      </c>
    </row>
    <row r="138">
      <c r="A138" s="7" t="inlineStr">
        <is>
          <t>Breakpoint candidate offset</t>
        </is>
      </c>
      <c r="B138" s="7" t="inlineStr">
        <is>
          <t>Offset (m)</t>
        </is>
      </c>
      <c r="C138" s="7" t="inlineStr">
        <is>
          <t>Total landed load at this offset (kN/m)</t>
        </is>
      </c>
    </row>
    <row r="139">
      <c r="A139" t="inlineStr">
        <is>
          <t>axle 1, right=0</t>
        </is>
      </c>
      <c r="B139" s="13">
        <f>-half_B-$B$131</f>
        <v/>
      </c>
      <c r="C139" s="12">
        <f>SUMPRODUCT($E$131:$E$136*(((((($B139+$B$131:$B$136+half_B)+B_ext-ABS(($B139+$B$131:$B$136+half_B)-B_ext))/2)-((($B139+$B$131:$B$136-half_B)+ABS(($B139+$B$131:$B$136-half_B)))/2))+ABS((((($B139+$B$131:$B$136+half_B)+B_ext-ABS(($B139+$B$131:$B$136+half_B)-B_ext))/2)-((($B139+$B$131:$B$136-half_B)+ABS(($B139+$B$131:$B$136-half_B)))/2))))/2))/disp_B/disp_LL</f>
        <v/>
      </c>
    </row>
    <row r="140">
      <c r="A140" t="inlineStr">
        <is>
          <t>axle 1, right=B_ext</t>
        </is>
      </c>
      <c r="B140" s="13">
        <f>B_ext-half_B-$B$131</f>
        <v/>
      </c>
      <c r="C140" s="12">
        <f>SUMPRODUCT($E$131:$E$136*(((((($B140+$B$131:$B$136+half_B)+B_ext-ABS(($B140+$B$131:$B$136+half_B)-B_ext))/2)-((($B140+$B$131:$B$136-half_B)+ABS(($B140+$B$131:$B$136-half_B)))/2))+ABS((((($B140+$B$131:$B$136+half_B)+B_ext-ABS(($B140+$B$131:$B$136+half_B)-B_ext))/2)-((($B140+$B$131:$B$136-half_B)+ABS(($B140+$B$131:$B$136-half_B)))/2))))/2))/disp_B/disp_LL</f>
        <v/>
      </c>
    </row>
    <row r="141">
      <c r="A141" t="inlineStr">
        <is>
          <t>axle 1, left=0</t>
        </is>
      </c>
      <c r="B141" s="13">
        <f>half_B-$B$131</f>
        <v/>
      </c>
      <c r="C141" s="12">
        <f>SUMPRODUCT($E$131:$E$136*(((((($B141+$B$131:$B$136+half_B)+B_ext-ABS(($B141+$B$131:$B$136+half_B)-B_ext))/2)-((($B141+$B$131:$B$136-half_B)+ABS(($B141+$B$131:$B$136-half_B)))/2))+ABS((((($B141+$B$131:$B$136+half_B)+B_ext-ABS(($B141+$B$131:$B$136+half_B)-B_ext))/2)-((($B141+$B$131:$B$136-half_B)+ABS(($B141+$B$131:$B$136-half_B)))/2))))/2))/disp_B/disp_LL</f>
        <v/>
      </c>
    </row>
    <row r="142">
      <c r="A142" t="inlineStr">
        <is>
          <t>axle 1, left=B_ext</t>
        </is>
      </c>
      <c r="B142" s="13">
        <f>B_ext+half_B-$B$131</f>
        <v/>
      </c>
      <c r="C142" s="12">
        <f>SUMPRODUCT($E$131:$E$136*(((((($B142+$B$131:$B$136+half_B)+B_ext-ABS(($B142+$B$131:$B$136+half_B)-B_ext))/2)-((($B142+$B$131:$B$136-half_B)+ABS(($B142+$B$131:$B$136-half_B)))/2))+ABS((((($B142+$B$131:$B$136+half_B)+B_ext-ABS(($B142+$B$131:$B$136+half_B)-B_ext))/2)-((($B142+$B$131:$B$136-half_B)+ABS(($B142+$B$131:$B$136-half_B)))/2))))/2))/disp_B/disp_LL</f>
        <v/>
      </c>
    </row>
    <row r="143">
      <c r="A143" t="inlineStr">
        <is>
          <t>axle 2, right=0</t>
        </is>
      </c>
      <c r="B143" s="13">
        <f>-half_B-$B$132</f>
        <v/>
      </c>
      <c r="C143" s="12">
        <f>SUMPRODUCT($E$131:$E$136*(((((($B143+$B$131:$B$136+half_B)+B_ext-ABS(($B143+$B$131:$B$136+half_B)-B_ext))/2)-((($B143+$B$131:$B$136-half_B)+ABS(($B143+$B$131:$B$136-half_B)))/2))+ABS((((($B143+$B$131:$B$136+half_B)+B_ext-ABS(($B143+$B$131:$B$136+half_B)-B_ext))/2)-((($B143+$B$131:$B$136-half_B)+ABS(($B143+$B$131:$B$136-half_B)))/2))))/2))/disp_B/disp_LL</f>
        <v/>
      </c>
    </row>
    <row r="144">
      <c r="A144" t="inlineStr">
        <is>
          <t>axle 2, right=B_ext</t>
        </is>
      </c>
      <c r="B144" s="13">
        <f>B_ext-half_B-$B$132</f>
        <v/>
      </c>
      <c r="C144" s="12">
        <f>SUMPRODUCT($E$131:$E$136*(((((($B144+$B$131:$B$136+half_B)+B_ext-ABS(($B144+$B$131:$B$136+half_B)-B_ext))/2)-((($B144+$B$131:$B$136-half_B)+ABS(($B144+$B$131:$B$136-half_B)))/2))+ABS((((($B144+$B$131:$B$136+half_B)+B_ext-ABS(($B144+$B$131:$B$136+half_B)-B_ext))/2)-((($B144+$B$131:$B$136-half_B)+ABS(($B144+$B$131:$B$136-half_B)))/2))))/2))/disp_B/disp_LL</f>
        <v/>
      </c>
    </row>
    <row r="145">
      <c r="A145" t="inlineStr">
        <is>
          <t>axle 2, left=0</t>
        </is>
      </c>
      <c r="B145" s="13">
        <f>half_B-$B$132</f>
        <v/>
      </c>
      <c r="C145" s="12">
        <f>SUMPRODUCT($E$131:$E$136*(((((($B145+$B$131:$B$136+half_B)+B_ext-ABS(($B145+$B$131:$B$136+half_B)-B_ext))/2)-((($B145+$B$131:$B$136-half_B)+ABS(($B145+$B$131:$B$136-half_B)))/2))+ABS((((($B145+$B$131:$B$136+half_B)+B_ext-ABS(($B145+$B$131:$B$136+half_B)-B_ext))/2)-((($B145+$B$131:$B$136-half_B)+ABS(($B145+$B$131:$B$136-half_B)))/2))))/2))/disp_B/disp_LL</f>
        <v/>
      </c>
    </row>
    <row r="146">
      <c r="A146" t="inlineStr">
        <is>
          <t>axle 2, left=B_ext</t>
        </is>
      </c>
      <c r="B146" s="13">
        <f>B_ext+half_B-$B$132</f>
        <v/>
      </c>
      <c r="C146" s="12">
        <f>SUMPRODUCT($E$131:$E$136*(((((($B146+$B$131:$B$136+half_B)+B_ext-ABS(($B146+$B$131:$B$136+half_B)-B_ext))/2)-((($B146+$B$131:$B$136-half_B)+ABS(($B146+$B$131:$B$136-half_B)))/2))+ABS((((($B146+$B$131:$B$136+half_B)+B_ext-ABS(($B146+$B$131:$B$136+half_B)-B_ext))/2)-((($B146+$B$131:$B$136-half_B)+ABS(($B146+$B$131:$B$136-half_B)))/2))))/2))/disp_B/disp_LL</f>
        <v/>
      </c>
    </row>
    <row r="147">
      <c r="A147" t="inlineStr">
        <is>
          <t>axle 3, right=0</t>
        </is>
      </c>
      <c r="B147" s="13">
        <f>-half_B-$B$133</f>
        <v/>
      </c>
      <c r="C147" s="12">
        <f>SUMPRODUCT($E$131:$E$136*(((((($B147+$B$131:$B$136+half_B)+B_ext-ABS(($B147+$B$131:$B$136+half_B)-B_ext))/2)-((($B147+$B$131:$B$136-half_B)+ABS(($B147+$B$131:$B$136-half_B)))/2))+ABS((((($B147+$B$131:$B$136+half_B)+B_ext-ABS(($B147+$B$131:$B$136+half_B)-B_ext))/2)-((($B147+$B$131:$B$136-half_B)+ABS(($B147+$B$131:$B$136-half_B)))/2))))/2))/disp_B/disp_LL</f>
        <v/>
      </c>
    </row>
    <row r="148">
      <c r="A148" t="inlineStr">
        <is>
          <t>axle 3, right=B_ext</t>
        </is>
      </c>
      <c r="B148" s="13">
        <f>B_ext-half_B-$B$133</f>
        <v/>
      </c>
      <c r="C148" s="12">
        <f>SUMPRODUCT($E$131:$E$136*(((((($B148+$B$131:$B$136+half_B)+B_ext-ABS(($B148+$B$131:$B$136+half_B)-B_ext))/2)-((($B148+$B$131:$B$136-half_B)+ABS(($B148+$B$131:$B$136-half_B)))/2))+ABS((((($B148+$B$131:$B$136+half_B)+B_ext-ABS(($B148+$B$131:$B$136+half_B)-B_ext))/2)-((($B148+$B$131:$B$136-half_B)+ABS(($B148+$B$131:$B$136-half_B)))/2))))/2))/disp_B/disp_LL</f>
        <v/>
      </c>
    </row>
    <row r="149">
      <c r="A149" t="inlineStr">
        <is>
          <t>axle 3, left=0</t>
        </is>
      </c>
      <c r="B149" s="13">
        <f>half_B-$B$133</f>
        <v/>
      </c>
      <c r="C149" s="12">
        <f>SUMPRODUCT($E$131:$E$136*(((((($B149+$B$131:$B$136+half_B)+B_ext-ABS(($B149+$B$131:$B$136+half_B)-B_ext))/2)-((($B149+$B$131:$B$136-half_B)+ABS(($B149+$B$131:$B$136-half_B)))/2))+ABS((((($B149+$B$131:$B$136+half_B)+B_ext-ABS(($B149+$B$131:$B$136+half_B)-B_ext))/2)-((($B149+$B$131:$B$136-half_B)+ABS(($B149+$B$131:$B$136-half_B)))/2))))/2))/disp_B/disp_LL</f>
        <v/>
      </c>
    </row>
    <row r="150">
      <c r="A150" t="inlineStr">
        <is>
          <t>axle 3, left=B_ext</t>
        </is>
      </c>
      <c r="B150" s="13">
        <f>B_ext+half_B-$B$133</f>
        <v/>
      </c>
      <c r="C150" s="12">
        <f>SUMPRODUCT($E$131:$E$136*(((((($B150+$B$131:$B$136+half_B)+B_ext-ABS(($B150+$B$131:$B$136+half_B)-B_ext))/2)-((($B150+$B$131:$B$136-half_B)+ABS(($B150+$B$131:$B$136-half_B)))/2))+ABS((((($B150+$B$131:$B$136+half_B)+B_ext-ABS(($B150+$B$131:$B$136+half_B)-B_ext))/2)-((($B150+$B$131:$B$136-half_B)+ABS(($B150+$B$131:$B$136-half_B)))/2))))/2))/disp_B/disp_LL</f>
        <v/>
      </c>
    </row>
    <row r="151">
      <c r="A151" t="inlineStr">
        <is>
          <t>axle 4, right=0</t>
        </is>
      </c>
      <c r="B151" s="13">
        <f>-half_B-$B$134</f>
        <v/>
      </c>
      <c r="C151" s="12">
        <f>SUMPRODUCT($E$131:$E$136*(((((($B151+$B$131:$B$136+half_B)+B_ext-ABS(($B151+$B$131:$B$136+half_B)-B_ext))/2)-((($B151+$B$131:$B$136-half_B)+ABS(($B151+$B$131:$B$136-half_B)))/2))+ABS((((($B151+$B$131:$B$136+half_B)+B_ext-ABS(($B151+$B$131:$B$136+half_B)-B_ext))/2)-((($B151+$B$131:$B$136-half_B)+ABS(($B151+$B$131:$B$136-half_B)))/2))))/2))/disp_B/disp_LL</f>
        <v/>
      </c>
    </row>
    <row r="152">
      <c r="A152" t="inlineStr">
        <is>
          <t>axle 4, right=B_ext</t>
        </is>
      </c>
      <c r="B152" s="13">
        <f>B_ext-half_B-$B$134</f>
        <v/>
      </c>
      <c r="C152" s="12">
        <f>SUMPRODUCT($E$131:$E$136*(((((($B152+$B$131:$B$136+half_B)+B_ext-ABS(($B152+$B$131:$B$136+half_B)-B_ext))/2)-((($B152+$B$131:$B$136-half_B)+ABS(($B152+$B$131:$B$136-half_B)))/2))+ABS((((($B152+$B$131:$B$136+half_B)+B_ext-ABS(($B152+$B$131:$B$136+half_B)-B_ext))/2)-((($B152+$B$131:$B$136-half_B)+ABS(($B152+$B$131:$B$136-half_B)))/2))))/2))/disp_B/disp_LL</f>
        <v/>
      </c>
    </row>
    <row r="153">
      <c r="A153" t="inlineStr">
        <is>
          <t>axle 4, left=0</t>
        </is>
      </c>
      <c r="B153" s="13">
        <f>half_B-$B$134</f>
        <v/>
      </c>
      <c r="C153" s="12">
        <f>SUMPRODUCT($E$131:$E$136*(((((($B153+$B$131:$B$136+half_B)+B_ext-ABS(($B153+$B$131:$B$136+half_B)-B_ext))/2)-((($B153+$B$131:$B$136-half_B)+ABS(($B153+$B$131:$B$136-half_B)))/2))+ABS((((($B153+$B$131:$B$136+half_B)+B_ext-ABS(($B153+$B$131:$B$136+half_B)-B_ext))/2)-((($B153+$B$131:$B$136-half_B)+ABS(($B153+$B$131:$B$136-half_B)))/2))))/2))/disp_B/disp_LL</f>
        <v/>
      </c>
    </row>
    <row r="154">
      <c r="A154" t="inlineStr">
        <is>
          <t>axle 4, left=B_ext</t>
        </is>
      </c>
      <c r="B154" s="13">
        <f>B_ext+half_B-$B$134</f>
        <v/>
      </c>
      <c r="C154" s="12">
        <f>SUMPRODUCT($E$131:$E$136*(((((($B154+$B$131:$B$136+half_B)+B_ext-ABS(($B154+$B$131:$B$136+half_B)-B_ext))/2)-((($B154+$B$131:$B$136-half_B)+ABS(($B154+$B$131:$B$136-half_B)))/2))+ABS((((($B154+$B$131:$B$136+half_B)+B_ext-ABS(($B154+$B$131:$B$136+half_B)-B_ext))/2)-((($B154+$B$131:$B$136-half_B)+ABS(($B154+$B$131:$B$136-half_B)))/2))))/2))/disp_B/disp_LL</f>
        <v/>
      </c>
    </row>
    <row r="155">
      <c r="A155" t="inlineStr">
        <is>
          <t>axle 5, right=0</t>
        </is>
      </c>
      <c r="B155" s="13">
        <f>-half_B-$B$135</f>
        <v/>
      </c>
      <c r="C155" s="12">
        <f>SUMPRODUCT($E$131:$E$136*(((((($B155+$B$131:$B$136+half_B)+B_ext-ABS(($B155+$B$131:$B$136+half_B)-B_ext))/2)-((($B155+$B$131:$B$136-half_B)+ABS(($B155+$B$131:$B$136-half_B)))/2))+ABS((((($B155+$B$131:$B$136+half_B)+B_ext-ABS(($B155+$B$131:$B$136+half_B)-B_ext))/2)-((($B155+$B$131:$B$136-half_B)+ABS(($B155+$B$131:$B$136-half_B)))/2))))/2))/disp_B/disp_LL</f>
        <v/>
      </c>
    </row>
    <row r="156">
      <c r="A156" t="inlineStr">
        <is>
          <t>axle 5, right=B_ext</t>
        </is>
      </c>
      <c r="B156" s="13">
        <f>B_ext-half_B-$B$135</f>
        <v/>
      </c>
      <c r="C156" s="12">
        <f>SUMPRODUCT($E$131:$E$136*(((((($B156+$B$131:$B$136+half_B)+B_ext-ABS(($B156+$B$131:$B$136+half_B)-B_ext))/2)-((($B156+$B$131:$B$136-half_B)+ABS(($B156+$B$131:$B$136-half_B)))/2))+ABS((((($B156+$B$131:$B$136+half_B)+B_ext-ABS(($B156+$B$131:$B$136+half_B)-B_ext))/2)-((($B156+$B$131:$B$136-half_B)+ABS(($B156+$B$131:$B$136-half_B)))/2))))/2))/disp_B/disp_LL</f>
        <v/>
      </c>
    </row>
    <row r="157">
      <c r="A157" t="inlineStr">
        <is>
          <t>axle 5, left=0</t>
        </is>
      </c>
      <c r="B157" s="13">
        <f>half_B-$B$135</f>
        <v/>
      </c>
      <c r="C157" s="12">
        <f>SUMPRODUCT($E$131:$E$136*(((((($B157+$B$131:$B$136+half_B)+B_ext-ABS(($B157+$B$131:$B$136+half_B)-B_ext))/2)-((($B157+$B$131:$B$136-half_B)+ABS(($B157+$B$131:$B$136-half_B)))/2))+ABS((((($B157+$B$131:$B$136+half_B)+B_ext-ABS(($B157+$B$131:$B$136+half_B)-B_ext))/2)-((($B157+$B$131:$B$136-half_B)+ABS(($B157+$B$131:$B$136-half_B)))/2))))/2))/disp_B/disp_LL</f>
        <v/>
      </c>
    </row>
    <row r="158">
      <c r="A158" t="inlineStr">
        <is>
          <t>axle 5, left=B_ext</t>
        </is>
      </c>
      <c r="B158" s="13">
        <f>B_ext+half_B-$B$135</f>
        <v/>
      </c>
      <c r="C158" s="12">
        <f>SUMPRODUCT($E$131:$E$136*(((((($B158+$B$131:$B$136+half_B)+B_ext-ABS(($B158+$B$131:$B$136+half_B)-B_ext))/2)-((($B158+$B$131:$B$136-half_B)+ABS(($B158+$B$131:$B$136-half_B)))/2))+ABS((((($B158+$B$131:$B$136+half_B)+B_ext-ABS(($B158+$B$131:$B$136+half_B)-B_ext))/2)-((($B158+$B$131:$B$136-half_B)+ABS(($B158+$B$131:$B$136-half_B)))/2))))/2))/disp_B/disp_LL</f>
        <v/>
      </c>
    </row>
    <row r="159">
      <c r="A159" t="inlineStr">
        <is>
          <t>axle 6, right=0</t>
        </is>
      </c>
      <c r="B159" s="13">
        <f>-half_B-$B$136</f>
        <v/>
      </c>
      <c r="C159" s="12">
        <f>SUMPRODUCT($E$131:$E$136*(((((($B159+$B$131:$B$136+half_B)+B_ext-ABS(($B159+$B$131:$B$136+half_B)-B_ext))/2)-((($B159+$B$131:$B$136-half_B)+ABS(($B159+$B$131:$B$136-half_B)))/2))+ABS((((($B159+$B$131:$B$136+half_B)+B_ext-ABS(($B159+$B$131:$B$136+half_B)-B_ext))/2)-((($B159+$B$131:$B$136-half_B)+ABS(($B159+$B$131:$B$136-half_B)))/2))))/2))/disp_B/disp_LL</f>
        <v/>
      </c>
    </row>
    <row r="160">
      <c r="A160" t="inlineStr">
        <is>
          <t>axle 6, right=B_ext</t>
        </is>
      </c>
      <c r="B160" s="13">
        <f>B_ext-half_B-$B$136</f>
        <v/>
      </c>
      <c r="C160" s="12">
        <f>SUMPRODUCT($E$131:$E$136*(((((($B160+$B$131:$B$136+half_B)+B_ext-ABS(($B160+$B$131:$B$136+half_B)-B_ext))/2)-((($B160+$B$131:$B$136-half_B)+ABS(($B160+$B$131:$B$136-half_B)))/2))+ABS((((($B160+$B$131:$B$136+half_B)+B_ext-ABS(($B160+$B$131:$B$136+half_B)-B_ext))/2)-((($B160+$B$131:$B$136-half_B)+ABS(($B160+$B$131:$B$136-half_B)))/2))))/2))/disp_B/disp_LL</f>
        <v/>
      </c>
    </row>
    <row r="161">
      <c r="A161" t="inlineStr">
        <is>
          <t>axle 6, left=0</t>
        </is>
      </c>
      <c r="B161" s="13">
        <f>half_B-$B$136</f>
        <v/>
      </c>
      <c r="C161" s="12">
        <f>SUMPRODUCT($E$131:$E$136*(((((($B161+$B$131:$B$136+half_B)+B_ext-ABS(($B161+$B$131:$B$136+half_B)-B_ext))/2)-((($B161+$B$131:$B$136-half_B)+ABS(($B161+$B$131:$B$136-half_B)))/2))+ABS((((($B161+$B$131:$B$136+half_B)+B_ext-ABS(($B161+$B$131:$B$136+half_B)-B_ext))/2)-((($B161+$B$131:$B$136-half_B)+ABS(($B161+$B$131:$B$136-half_B)))/2))))/2))/disp_B/disp_LL</f>
        <v/>
      </c>
    </row>
    <row r="162">
      <c r="A162" t="inlineStr">
        <is>
          <t>axle 6, left=B_ext</t>
        </is>
      </c>
      <c r="B162" s="13">
        <f>B_ext+half_B-$B$136</f>
        <v/>
      </c>
      <c r="C162" s="12">
        <f>SUMPRODUCT($E$131:$E$136*(((((($B162+$B$131:$B$136+half_B)+B_ext-ABS(($B162+$B$131:$B$136+half_B)-B_ext))/2)-((($B162+$B$131:$B$136-half_B)+ABS(($B162+$B$131:$B$136-half_B)))/2))+ABS((((($B162+$B$131:$B$136+half_B)+B_ext-ABS(($B162+$B$131:$B$136+half_B)-B_ext))/2)-((($B162+$B$131:$B$136-half_B)+ABS(($B162+$B$131:$B$136-half_B)))/2))))/2))/disp_B/disp_LL</f>
        <v/>
      </c>
    </row>
    <row r="164">
      <c r="A164" t="inlineStr">
        <is>
          <t>SV100 block max, gap=1.2m (kN/m)</t>
        </is>
      </c>
      <c r="B164" s="12">
        <f>MAX(C139:C162)</f>
        <v/>
      </c>
    </row>
    <row r="166">
      <c r="A166" s="16" t="inlineStr">
        <is>
          <t>SV100 — inter-group gap = 5.0 m</t>
        </is>
      </c>
    </row>
    <row r="167">
      <c r="A167" s="7" t="inlineStr">
        <is>
          <t>Axle</t>
        </is>
      </c>
      <c r="B167" s="7" t="inlineStr">
        <is>
          <t>Position (m)</t>
        </is>
      </c>
      <c r="C167" s="7" t="inlineStr">
        <is>
          <t>Basic Load (kN)</t>
        </is>
      </c>
      <c r="D167" s="7" t="inlineStr">
        <is>
          <t>DAF</t>
        </is>
      </c>
      <c r="E167" s="7" t="inlineStr">
        <is>
          <t>Factored Load (kN)</t>
        </is>
      </c>
    </row>
    <row r="168">
      <c r="A168" t="n">
        <v>1</v>
      </c>
      <c r="B168" s="12" t="n">
        <v>0</v>
      </c>
      <c r="C168" s="11" t="n">
        <v>165</v>
      </c>
      <c r="D168" s="12" t="n">
        <v>1.12</v>
      </c>
      <c r="E168" s="12">
        <f>C168*D168</f>
        <v/>
      </c>
    </row>
    <row r="169">
      <c r="A169" t="n">
        <v>2</v>
      </c>
      <c r="B169" s="12" t="n">
        <v>1.2</v>
      </c>
      <c r="C169" s="11" t="n">
        <v>165</v>
      </c>
      <c r="D169" s="12" t="n">
        <v>1.12</v>
      </c>
      <c r="E169" s="12">
        <f>C169*D169</f>
        <v/>
      </c>
    </row>
    <row r="170">
      <c r="A170" t="n">
        <v>3</v>
      </c>
      <c r="B170" s="12" t="n">
        <v>2.4</v>
      </c>
      <c r="C170" s="11" t="n">
        <v>165</v>
      </c>
      <c r="D170" s="12" t="n">
        <v>1.12</v>
      </c>
      <c r="E170" s="12">
        <f>C170*D170</f>
        <v/>
      </c>
    </row>
    <row r="171">
      <c r="A171" t="n">
        <v>4</v>
      </c>
      <c r="B171" s="12" t="n">
        <v>7.4</v>
      </c>
      <c r="C171" s="11" t="n">
        <v>165</v>
      </c>
      <c r="D171" s="12" t="n">
        <v>1.12</v>
      </c>
      <c r="E171" s="12">
        <f>C171*D171</f>
        <v/>
      </c>
    </row>
    <row r="172">
      <c r="A172" t="n">
        <v>5</v>
      </c>
      <c r="B172" s="12" t="n">
        <v>8.6</v>
      </c>
      <c r="C172" s="11" t="n">
        <v>165</v>
      </c>
      <c r="D172" s="12" t="n">
        <v>1.12</v>
      </c>
      <c r="E172" s="12">
        <f>C172*D172</f>
        <v/>
      </c>
    </row>
    <row r="173">
      <c r="A173" t="n">
        <v>6</v>
      </c>
      <c r="B173" s="12" t="n">
        <v>9.800000000000001</v>
      </c>
      <c r="C173" s="11" t="n">
        <v>165</v>
      </c>
      <c r="D173" s="12" t="n">
        <v>1.12</v>
      </c>
      <c r="E173" s="12">
        <f>C173*D173</f>
        <v/>
      </c>
    </row>
    <row r="175">
      <c r="A175" s="7" t="inlineStr">
        <is>
          <t>Breakpoint candidate offset</t>
        </is>
      </c>
      <c r="B175" s="7" t="inlineStr">
        <is>
          <t>Offset (m)</t>
        </is>
      </c>
      <c r="C175" s="7" t="inlineStr">
        <is>
          <t>Total landed load at this offset (kN/m)</t>
        </is>
      </c>
    </row>
    <row r="176">
      <c r="A176" t="inlineStr">
        <is>
          <t>axle 1, right=0</t>
        </is>
      </c>
      <c r="B176" s="13">
        <f>-half_B-$B$168</f>
        <v/>
      </c>
      <c r="C176" s="12">
        <f>SUMPRODUCT($E$168:$E$173*(((((($B176+$B$168:$B$173+half_B)+B_ext-ABS(($B176+$B$168:$B$173+half_B)-B_ext))/2)-((($B176+$B$168:$B$173-half_B)+ABS(($B176+$B$168:$B$173-half_B)))/2))+ABS((((($B176+$B$168:$B$173+half_B)+B_ext-ABS(($B176+$B$168:$B$173+half_B)-B_ext))/2)-((($B176+$B$168:$B$173-half_B)+ABS(($B176+$B$168:$B$173-half_B)))/2))))/2))/disp_B/disp_LL</f>
        <v/>
      </c>
    </row>
    <row r="177">
      <c r="A177" t="inlineStr">
        <is>
          <t>axle 1, right=B_ext</t>
        </is>
      </c>
      <c r="B177" s="13">
        <f>B_ext-half_B-$B$168</f>
        <v/>
      </c>
      <c r="C177" s="12">
        <f>SUMPRODUCT($E$168:$E$173*(((((($B177+$B$168:$B$173+half_B)+B_ext-ABS(($B177+$B$168:$B$173+half_B)-B_ext))/2)-((($B177+$B$168:$B$173-half_B)+ABS(($B177+$B$168:$B$173-half_B)))/2))+ABS((((($B177+$B$168:$B$173+half_B)+B_ext-ABS(($B177+$B$168:$B$173+half_B)-B_ext))/2)-((($B177+$B$168:$B$173-half_B)+ABS(($B177+$B$168:$B$173-half_B)))/2))))/2))/disp_B/disp_LL</f>
        <v/>
      </c>
    </row>
    <row r="178">
      <c r="A178" t="inlineStr">
        <is>
          <t>axle 1, left=0</t>
        </is>
      </c>
      <c r="B178" s="13">
        <f>half_B-$B$168</f>
        <v/>
      </c>
      <c r="C178" s="12">
        <f>SUMPRODUCT($E$168:$E$173*(((((($B178+$B$168:$B$173+half_B)+B_ext-ABS(($B178+$B$168:$B$173+half_B)-B_ext))/2)-((($B178+$B$168:$B$173-half_B)+ABS(($B178+$B$168:$B$173-half_B)))/2))+ABS((((($B178+$B$168:$B$173+half_B)+B_ext-ABS(($B178+$B$168:$B$173+half_B)-B_ext))/2)-((($B178+$B$168:$B$173-half_B)+ABS(($B178+$B$168:$B$173-half_B)))/2))))/2))/disp_B/disp_LL</f>
        <v/>
      </c>
    </row>
    <row r="179">
      <c r="A179" t="inlineStr">
        <is>
          <t>axle 1, left=B_ext</t>
        </is>
      </c>
      <c r="B179" s="13">
        <f>B_ext+half_B-$B$168</f>
        <v/>
      </c>
      <c r="C179" s="12">
        <f>SUMPRODUCT($E$168:$E$173*(((((($B179+$B$168:$B$173+half_B)+B_ext-ABS(($B179+$B$168:$B$173+half_B)-B_ext))/2)-((($B179+$B$168:$B$173-half_B)+ABS(($B179+$B$168:$B$173-half_B)))/2))+ABS((((($B179+$B$168:$B$173+half_B)+B_ext-ABS(($B179+$B$168:$B$173+half_B)-B_ext))/2)-((($B179+$B$168:$B$173-half_B)+ABS(($B179+$B$168:$B$173-half_B)))/2))))/2))/disp_B/disp_LL</f>
        <v/>
      </c>
    </row>
    <row r="180">
      <c r="A180" t="inlineStr">
        <is>
          <t>axle 2, right=0</t>
        </is>
      </c>
      <c r="B180" s="13">
        <f>-half_B-$B$169</f>
        <v/>
      </c>
      <c r="C180" s="12">
        <f>SUMPRODUCT($E$168:$E$173*(((((($B180+$B$168:$B$173+half_B)+B_ext-ABS(($B180+$B$168:$B$173+half_B)-B_ext))/2)-((($B180+$B$168:$B$173-half_B)+ABS(($B180+$B$168:$B$173-half_B)))/2))+ABS((((($B180+$B$168:$B$173+half_B)+B_ext-ABS(($B180+$B$168:$B$173+half_B)-B_ext))/2)-((($B180+$B$168:$B$173-half_B)+ABS(($B180+$B$168:$B$173-half_B)))/2))))/2))/disp_B/disp_LL</f>
        <v/>
      </c>
    </row>
    <row r="181">
      <c r="A181" t="inlineStr">
        <is>
          <t>axle 2, right=B_ext</t>
        </is>
      </c>
      <c r="B181" s="13">
        <f>B_ext-half_B-$B$169</f>
        <v/>
      </c>
      <c r="C181" s="12">
        <f>SUMPRODUCT($E$168:$E$173*(((((($B181+$B$168:$B$173+half_B)+B_ext-ABS(($B181+$B$168:$B$173+half_B)-B_ext))/2)-((($B181+$B$168:$B$173-half_B)+ABS(($B181+$B$168:$B$173-half_B)))/2))+ABS((((($B181+$B$168:$B$173+half_B)+B_ext-ABS(($B181+$B$168:$B$173+half_B)-B_ext))/2)-((($B181+$B$168:$B$173-half_B)+ABS(($B181+$B$168:$B$173-half_B)))/2))))/2))/disp_B/disp_LL</f>
        <v/>
      </c>
    </row>
    <row r="182">
      <c r="A182" t="inlineStr">
        <is>
          <t>axle 2, left=0</t>
        </is>
      </c>
      <c r="B182" s="13">
        <f>half_B-$B$169</f>
        <v/>
      </c>
      <c r="C182" s="12">
        <f>SUMPRODUCT($E$168:$E$173*(((((($B182+$B$168:$B$173+half_B)+B_ext-ABS(($B182+$B$168:$B$173+half_B)-B_ext))/2)-((($B182+$B$168:$B$173-half_B)+ABS(($B182+$B$168:$B$173-half_B)))/2))+ABS((((($B182+$B$168:$B$173+half_B)+B_ext-ABS(($B182+$B$168:$B$173+half_B)-B_ext))/2)-((($B182+$B$168:$B$173-half_B)+ABS(($B182+$B$168:$B$173-half_B)))/2))))/2))/disp_B/disp_LL</f>
        <v/>
      </c>
    </row>
    <row r="183">
      <c r="A183" t="inlineStr">
        <is>
          <t>axle 2, left=B_ext</t>
        </is>
      </c>
      <c r="B183" s="13">
        <f>B_ext+half_B-$B$169</f>
        <v/>
      </c>
      <c r="C183" s="12">
        <f>SUMPRODUCT($E$168:$E$173*(((((($B183+$B$168:$B$173+half_B)+B_ext-ABS(($B183+$B$168:$B$173+half_B)-B_ext))/2)-((($B183+$B$168:$B$173-half_B)+ABS(($B183+$B$168:$B$173-half_B)))/2))+ABS((((($B183+$B$168:$B$173+half_B)+B_ext-ABS(($B183+$B$168:$B$173+half_B)-B_ext))/2)-((($B183+$B$168:$B$173-half_B)+ABS(($B183+$B$168:$B$173-half_B)))/2))))/2))/disp_B/disp_LL</f>
        <v/>
      </c>
    </row>
    <row r="184">
      <c r="A184" t="inlineStr">
        <is>
          <t>axle 3, right=0</t>
        </is>
      </c>
      <c r="B184" s="13">
        <f>-half_B-$B$170</f>
        <v/>
      </c>
      <c r="C184" s="12">
        <f>SUMPRODUCT($E$168:$E$173*(((((($B184+$B$168:$B$173+half_B)+B_ext-ABS(($B184+$B$168:$B$173+half_B)-B_ext))/2)-((($B184+$B$168:$B$173-half_B)+ABS(($B184+$B$168:$B$173-half_B)))/2))+ABS((((($B184+$B$168:$B$173+half_B)+B_ext-ABS(($B184+$B$168:$B$173+half_B)-B_ext))/2)-((($B184+$B$168:$B$173-half_B)+ABS(($B184+$B$168:$B$173-half_B)))/2))))/2))/disp_B/disp_LL</f>
        <v/>
      </c>
    </row>
    <row r="185">
      <c r="A185" t="inlineStr">
        <is>
          <t>axle 3, right=B_ext</t>
        </is>
      </c>
      <c r="B185" s="13">
        <f>B_ext-half_B-$B$170</f>
        <v/>
      </c>
      <c r="C185" s="12">
        <f>SUMPRODUCT($E$168:$E$173*(((((($B185+$B$168:$B$173+half_B)+B_ext-ABS(($B185+$B$168:$B$173+half_B)-B_ext))/2)-((($B185+$B$168:$B$173-half_B)+ABS(($B185+$B$168:$B$173-half_B)))/2))+ABS((((($B185+$B$168:$B$173+half_B)+B_ext-ABS(($B185+$B$168:$B$173+half_B)-B_ext))/2)-((($B185+$B$168:$B$173-half_B)+ABS(($B185+$B$168:$B$173-half_B)))/2))))/2))/disp_B/disp_LL</f>
        <v/>
      </c>
    </row>
    <row r="186">
      <c r="A186" t="inlineStr">
        <is>
          <t>axle 3, left=0</t>
        </is>
      </c>
      <c r="B186" s="13">
        <f>half_B-$B$170</f>
        <v/>
      </c>
      <c r="C186" s="12">
        <f>SUMPRODUCT($E$168:$E$173*(((((($B186+$B$168:$B$173+half_B)+B_ext-ABS(($B186+$B$168:$B$173+half_B)-B_ext))/2)-((($B186+$B$168:$B$173-half_B)+ABS(($B186+$B$168:$B$173-half_B)))/2))+ABS((((($B186+$B$168:$B$173+half_B)+B_ext-ABS(($B186+$B$168:$B$173+half_B)-B_ext))/2)-((($B186+$B$168:$B$173-half_B)+ABS(($B186+$B$168:$B$173-half_B)))/2))))/2))/disp_B/disp_LL</f>
        <v/>
      </c>
    </row>
    <row r="187">
      <c r="A187" t="inlineStr">
        <is>
          <t>axle 3, left=B_ext</t>
        </is>
      </c>
      <c r="B187" s="13">
        <f>B_ext+half_B-$B$170</f>
        <v/>
      </c>
      <c r="C187" s="12">
        <f>SUMPRODUCT($E$168:$E$173*(((((($B187+$B$168:$B$173+half_B)+B_ext-ABS(($B187+$B$168:$B$173+half_B)-B_ext))/2)-((($B187+$B$168:$B$173-half_B)+ABS(($B187+$B$168:$B$173-half_B)))/2))+ABS((((($B187+$B$168:$B$173+half_B)+B_ext-ABS(($B187+$B$168:$B$173+half_B)-B_ext))/2)-((($B187+$B$168:$B$173-half_B)+ABS(($B187+$B$168:$B$173-half_B)))/2))))/2))/disp_B/disp_LL</f>
        <v/>
      </c>
    </row>
    <row r="188">
      <c r="A188" t="inlineStr">
        <is>
          <t>axle 4, right=0</t>
        </is>
      </c>
      <c r="B188" s="13">
        <f>-half_B-$B$171</f>
        <v/>
      </c>
      <c r="C188" s="12">
        <f>SUMPRODUCT($E$168:$E$173*(((((($B188+$B$168:$B$173+half_B)+B_ext-ABS(($B188+$B$168:$B$173+half_B)-B_ext))/2)-((($B188+$B$168:$B$173-half_B)+ABS(($B188+$B$168:$B$173-half_B)))/2))+ABS((((($B188+$B$168:$B$173+half_B)+B_ext-ABS(($B188+$B$168:$B$173+half_B)-B_ext))/2)-((($B188+$B$168:$B$173-half_B)+ABS(($B188+$B$168:$B$173-half_B)))/2))))/2))/disp_B/disp_LL</f>
        <v/>
      </c>
    </row>
    <row r="189">
      <c r="A189" t="inlineStr">
        <is>
          <t>axle 4, right=B_ext</t>
        </is>
      </c>
      <c r="B189" s="13">
        <f>B_ext-half_B-$B$171</f>
        <v/>
      </c>
      <c r="C189" s="12">
        <f>SUMPRODUCT($E$168:$E$173*(((((($B189+$B$168:$B$173+half_B)+B_ext-ABS(($B189+$B$168:$B$173+half_B)-B_ext))/2)-((($B189+$B$168:$B$173-half_B)+ABS(($B189+$B$168:$B$173-half_B)))/2))+ABS((((($B189+$B$168:$B$173+half_B)+B_ext-ABS(($B189+$B$168:$B$173+half_B)-B_ext))/2)-((($B189+$B$168:$B$173-half_B)+ABS(($B189+$B$168:$B$173-half_B)))/2))))/2))/disp_B/disp_LL</f>
        <v/>
      </c>
    </row>
    <row r="190">
      <c r="A190" t="inlineStr">
        <is>
          <t>axle 4, left=0</t>
        </is>
      </c>
      <c r="B190" s="13">
        <f>half_B-$B$171</f>
        <v/>
      </c>
      <c r="C190" s="12">
        <f>SUMPRODUCT($E$168:$E$173*(((((($B190+$B$168:$B$173+half_B)+B_ext-ABS(($B190+$B$168:$B$173+half_B)-B_ext))/2)-((($B190+$B$168:$B$173-half_B)+ABS(($B190+$B$168:$B$173-half_B)))/2))+ABS((((($B190+$B$168:$B$173+half_B)+B_ext-ABS(($B190+$B$168:$B$173+half_B)-B_ext))/2)-((($B190+$B$168:$B$173-half_B)+ABS(($B190+$B$168:$B$173-half_B)))/2))))/2))/disp_B/disp_LL</f>
        <v/>
      </c>
    </row>
    <row r="191">
      <c r="A191" t="inlineStr">
        <is>
          <t>axle 4, left=B_ext</t>
        </is>
      </c>
      <c r="B191" s="13">
        <f>B_ext+half_B-$B$171</f>
        <v/>
      </c>
      <c r="C191" s="12">
        <f>SUMPRODUCT($E$168:$E$173*(((((($B191+$B$168:$B$173+half_B)+B_ext-ABS(($B191+$B$168:$B$173+half_B)-B_ext))/2)-((($B191+$B$168:$B$173-half_B)+ABS(($B191+$B$168:$B$173-half_B)))/2))+ABS((((($B191+$B$168:$B$173+half_B)+B_ext-ABS(($B191+$B$168:$B$173+half_B)-B_ext))/2)-((($B191+$B$168:$B$173-half_B)+ABS(($B191+$B$168:$B$173-half_B)))/2))))/2))/disp_B/disp_LL</f>
        <v/>
      </c>
    </row>
    <row r="192">
      <c r="A192" t="inlineStr">
        <is>
          <t>axle 5, right=0</t>
        </is>
      </c>
      <c r="B192" s="13">
        <f>-half_B-$B$172</f>
        <v/>
      </c>
      <c r="C192" s="12">
        <f>SUMPRODUCT($E$168:$E$173*(((((($B192+$B$168:$B$173+half_B)+B_ext-ABS(($B192+$B$168:$B$173+half_B)-B_ext))/2)-((($B192+$B$168:$B$173-half_B)+ABS(($B192+$B$168:$B$173-half_B)))/2))+ABS((((($B192+$B$168:$B$173+half_B)+B_ext-ABS(($B192+$B$168:$B$173+half_B)-B_ext))/2)-((($B192+$B$168:$B$173-half_B)+ABS(($B192+$B$168:$B$173-half_B)))/2))))/2))/disp_B/disp_LL</f>
        <v/>
      </c>
    </row>
    <row r="193">
      <c r="A193" t="inlineStr">
        <is>
          <t>axle 5, right=B_ext</t>
        </is>
      </c>
      <c r="B193" s="13">
        <f>B_ext-half_B-$B$172</f>
        <v/>
      </c>
      <c r="C193" s="12">
        <f>SUMPRODUCT($E$168:$E$173*(((((($B193+$B$168:$B$173+half_B)+B_ext-ABS(($B193+$B$168:$B$173+half_B)-B_ext))/2)-((($B193+$B$168:$B$173-half_B)+ABS(($B193+$B$168:$B$173-half_B)))/2))+ABS((((($B193+$B$168:$B$173+half_B)+B_ext-ABS(($B193+$B$168:$B$173+half_B)-B_ext))/2)-((($B193+$B$168:$B$173-half_B)+ABS(($B193+$B$168:$B$173-half_B)))/2))))/2))/disp_B/disp_LL</f>
        <v/>
      </c>
    </row>
    <row r="194">
      <c r="A194" t="inlineStr">
        <is>
          <t>axle 5, left=0</t>
        </is>
      </c>
      <c r="B194" s="13">
        <f>half_B-$B$172</f>
        <v/>
      </c>
      <c r="C194" s="12">
        <f>SUMPRODUCT($E$168:$E$173*(((((($B194+$B$168:$B$173+half_B)+B_ext-ABS(($B194+$B$168:$B$173+half_B)-B_ext))/2)-((($B194+$B$168:$B$173-half_B)+ABS(($B194+$B$168:$B$173-half_B)))/2))+ABS((((($B194+$B$168:$B$173+half_B)+B_ext-ABS(($B194+$B$168:$B$173+half_B)-B_ext))/2)-((($B194+$B$168:$B$173-half_B)+ABS(($B194+$B$168:$B$173-half_B)))/2))))/2))/disp_B/disp_LL</f>
        <v/>
      </c>
    </row>
    <row r="195">
      <c r="A195" t="inlineStr">
        <is>
          <t>axle 5, left=B_ext</t>
        </is>
      </c>
      <c r="B195" s="13">
        <f>B_ext+half_B-$B$172</f>
        <v/>
      </c>
      <c r="C195" s="12">
        <f>SUMPRODUCT($E$168:$E$173*(((((($B195+$B$168:$B$173+half_B)+B_ext-ABS(($B195+$B$168:$B$173+half_B)-B_ext))/2)-((($B195+$B$168:$B$173-half_B)+ABS(($B195+$B$168:$B$173-half_B)))/2))+ABS((((($B195+$B$168:$B$173+half_B)+B_ext-ABS(($B195+$B$168:$B$173+half_B)-B_ext))/2)-((($B195+$B$168:$B$173-half_B)+ABS(($B195+$B$168:$B$173-half_B)))/2))))/2))/disp_B/disp_LL</f>
        <v/>
      </c>
    </row>
    <row r="196">
      <c r="A196" t="inlineStr">
        <is>
          <t>axle 6, right=0</t>
        </is>
      </c>
      <c r="B196" s="13">
        <f>-half_B-$B$173</f>
        <v/>
      </c>
      <c r="C196" s="12">
        <f>SUMPRODUCT($E$168:$E$173*(((((($B196+$B$168:$B$173+half_B)+B_ext-ABS(($B196+$B$168:$B$173+half_B)-B_ext))/2)-((($B196+$B$168:$B$173-half_B)+ABS(($B196+$B$168:$B$173-half_B)))/2))+ABS((((($B196+$B$168:$B$173+half_B)+B_ext-ABS(($B196+$B$168:$B$173+half_B)-B_ext))/2)-((($B196+$B$168:$B$173-half_B)+ABS(($B196+$B$168:$B$173-half_B)))/2))))/2))/disp_B/disp_LL</f>
        <v/>
      </c>
    </row>
    <row r="197">
      <c r="A197" t="inlineStr">
        <is>
          <t>axle 6, right=B_ext</t>
        </is>
      </c>
      <c r="B197" s="13">
        <f>B_ext-half_B-$B$173</f>
        <v/>
      </c>
      <c r="C197" s="12">
        <f>SUMPRODUCT($E$168:$E$173*(((((($B197+$B$168:$B$173+half_B)+B_ext-ABS(($B197+$B$168:$B$173+half_B)-B_ext))/2)-((($B197+$B$168:$B$173-half_B)+ABS(($B197+$B$168:$B$173-half_B)))/2))+ABS((((($B197+$B$168:$B$173+half_B)+B_ext-ABS(($B197+$B$168:$B$173+half_B)-B_ext))/2)-((($B197+$B$168:$B$173-half_B)+ABS(($B197+$B$168:$B$173-half_B)))/2))))/2))/disp_B/disp_LL</f>
        <v/>
      </c>
    </row>
    <row r="198">
      <c r="A198" t="inlineStr">
        <is>
          <t>axle 6, left=0</t>
        </is>
      </c>
      <c r="B198" s="13">
        <f>half_B-$B$173</f>
        <v/>
      </c>
      <c r="C198" s="12">
        <f>SUMPRODUCT($E$168:$E$173*(((((($B198+$B$168:$B$173+half_B)+B_ext-ABS(($B198+$B$168:$B$173+half_B)-B_ext))/2)-((($B198+$B$168:$B$173-half_B)+ABS(($B198+$B$168:$B$173-half_B)))/2))+ABS((((($B198+$B$168:$B$173+half_B)+B_ext-ABS(($B198+$B$168:$B$173+half_B)-B_ext))/2)-((($B198+$B$168:$B$173-half_B)+ABS(($B198+$B$168:$B$173-half_B)))/2))))/2))/disp_B/disp_LL</f>
        <v/>
      </c>
    </row>
    <row r="199">
      <c r="A199" t="inlineStr">
        <is>
          <t>axle 6, left=B_ext</t>
        </is>
      </c>
      <c r="B199" s="13">
        <f>B_ext+half_B-$B$173</f>
        <v/>
      </c>
      <c r="C199" s="12">
        <f>SUMPRODUCT($E$168:$E$173*(((((($B199+$B$168:$B$173+half_B)+B_ext-ABS(($B199+$B$168:$B$173+half_B)-B_ext))/2)-((($B199+$B$168:$B$173-half_B)+ABS(($B199+$B$168:$B$173-half_B)))/2))+ABS((((($B199+$B$168:$B$173+half_B)+B_ext-ABS(($B199+$B$168:$B$173+half_B)-B_ext))/2)-((($B199+$B$168:$B$173-half_B)+ABS(($B199+$B$168:$B$173-half_B)))/2))))/2))/disp_B/disp_LL</f>
        <v/>
      </c>
    </row>
    <row r="201">
      <c r="A201" t="inlineStr">
        <is>
          <t>SV100 block max, gap=5.0m (kN/m)</t>
        </is>
      </c>
      <c r="B201" s="12">
        <f>MAX(C176:C199)</f>
        <v/>
      </c>
    </row>
    <row r="203">
      <c r="A203" s="16" t="inlineStr">
        <is>
          <t>SV100 — inter-group gap = 9.0 m</t>
        </is>
      </c>
    </row>
    <row r="204">
      <c r="A204" s="7" t="inlineStr">
        <is>
          <t>Axle</t>
        </is>
      </c>
      <c r="B204" s="7" t="inlineStr">
        <is>
          <t>Position (m)</t>
        </is>
      </c>
      <c r="C204" s="7" t="inlineStr">
        <is>
          <t>Basic Load (kN)</t>
        </is>
      </c>
      <c r="D204" s="7" t="inlineStr">
        <is>
          <t>DAF</t>
        </is>
      </c>
      <c r="E204" s="7" t="inlineStr">
        <is>
          <t>Factored Load (kN)</t>
        </is>
      </c>
    </row>
    <row r="205">
      <c r="A205" t="n">
        <v>1</v>
      </c>
      <c r="B205" s="12" t="n">
        <v>0</v>
      </c>
      <c r="C205" s="11" t="n">
        <v>165</v>
      </c>
      <c r="D205" s="12" t="n">
        <v>1.12</v>
      </c>
      <c r="E205" s="12">
        <f>C205*D205</f>
        <v/>
      </c>
    </row>
    <row r="206">
      <c r="A206" t="n">
        <v>2</v>
      </c>
      <c r="B206" s="12" t="n">
        <v>1.2</v>
      </c>
      <c r="C206" s="11" t="n">
        <v>165</v>
      </c>
      <c r="D206" s="12" t="n">
        <v>1.12</v>
      </c>
      <c r="E206" s="12">
        <f>C206*D206</f>
        <v/>
      </c>
    </row>
    <row r="207">
      <c r="A207" t="n">
        <v>3</v>
      </c>
      <c r="B207" s="12" t="n">
        <v>2.4</v>
      </c>
      <c r="C207" s="11" t="n">
        <v>165</v>
      </c>
      <c r="D207" s="12" t="n">
        <v>1.12</v>
      </c>
      <c r="E207" s="12">
        <f>C207*D207</f>
        <v/>
      </c>
    </row>
    <row r="208">
      <c r="A208" t="n">
        <v>4</v>
      </c>
      <c r="B208" s="12" t="n">
        <v>11.4</v>
      </c>
      <c r="C208" s="11" t="n">
        <v>165</v>
      </c>
      <c r="D208" s="12" t="n">
        <v>1.12</v>
      </c>
      <c r="E208" s="12">
        <f>C208*D208</f>
        <v/>
      </c>
    </row>
    <row r="209">
      <c r="A209" t="n">
        <v>5</v>
      </c>
      <c r="B209" s="12" t="n">
        <v>12.6</v>
      </c>
      <c r="C209" s="11" t="n">
        <v>165</v>
      </c>
      <c r="D209" s="12" t="n">
        <v>1.12</v>
      </c>
      <c r="E209" s="12">
        <f>C209*D209</f>
        <v/>
      </c>
    </row>
    <row r="210">
      <c r="A210" t="n">
        <v>6</v>
      </c>
      <c r="B210" s="12" t="n">
        <v>13.8</v>
      </c>
      <c r="C210" s="11" t="n">
        <v>165</v>
      </c>
      <c r="D210" s="12" t="n">
        <v>1.12</v>
      </c>
      <c r="E210" s="12">
        <f>C210*D210</f>
        <v/>
      </c>
    </row>
    <row r="212">
      <c r="A212" s="7" t="inlineStr">
        <is>
          <t>Breakpoint candidate offset</t>
        </is>
      </c>
      <c r="B212" s="7" t="inlineStr">
        <is>
          <t>Offset (m)</t>
        </is>
      </c>
      <c r="C212" s="7" t="inlineStr">
        <is>
          <t>Total landed load at this offset (kN/m)</t>
        </is>
      </c>
    </row>
    <row r="213">
      <c r="A213" t="inlineStr">
        <is>
          <t>axle 1, right=0</t>
        </is>
      </c>
      <c r="B213" s="13">
        <f>-half_B-$B$205</f>
        <v/>
      </c>
      <c r="C213" s="12">
        <f>SUMPRODUCT($E$205:$E$210*(((((($B213+$B$205:$B$210+half_B)+B_ext-ABS(($B213+$B$205:$B$210+half_B)-B_ext))/2)-((($B213+$B$205:$B$210-half_B)+ABS(($B213+$B$205:$B$210-half_B)))/2))+ABS((((($B213+$B$205:$B$210+half_B)+B_ext-ABS(($B213+$B$205:$B$210+half_B)-B_ext))/2)-((($B213+$B$205:$B$210-half_B)+ABS(($B213+$B$205:$B$210-half_B)))/2))))/2))/disp_B/disp_LL</f>
        <v/>
      </c>
    </row>
    <row r="214">
      <c r="A214" t="inlineStr">
        <is>
          <t>axle 1, right=B_ext</t>
        </is>
      </c>
      <c r="B214" s="13">
        <f>B_ext-half_B-$B$205</f>
        <v/>
      </c>
      <c r="C214" s="12">
        <f>SUMPRODUCT($E$205:$E$210*(((((($B214+$B$205:$B$210+half_B)+B_ext-ABS(($B214+$B$205:$B$210+half_B)-B_ext))/2)-((($B214+$B$205:$B$210-half_B)+ABS(($B214+$B$205:$B$210-half_B)))/2))+ABS((((($B214+$B$205:$B$210+half_B)+B_ext-ABS(($B214+$B$205:$B$210+half_B)-B_ext))/2)-((($B214+$B$205:$B$210-half_B)+ABS(($B214+$B$205:$B$210-half_B)))/2))))/2))/disp_B/disp_LL</f>
        <v/>
      </c>
    </row>
    <row r="215">
      <c r="A215" t="inlineStr">
        <is>
          <t>axle 1, left=0</t>
        </is>
      </c>
      <c r="B215" s="13">
        <f>half_B-$B$205</f>
        <v/>
      </c>
      <c r="C215" s="12">
        <f>SUMPRODUCT($E$205:$E$210*(((((($B215+$B$205:$B$210+half_B)+B_ext-ABS(($B215+$B$205:$B$210+half_B)-B_ext))/2)-((($B215+$B$205:$B$210-half_B)+ABS(($B215+$B$205:$B$210-half_B)))/2))+ABS((((($B215+$B$205:$B$210+half_B)+B_ext-ABS(($B215+$B$205:$B$210+half_B)-B_ext))/2)-((($B215+$B$205:$B$210-half_B)+ABS(($B215+$B$205:$B$210-half_B)))/2))))/2))/disp_B/disp_LL</f>
        <v/>
      </c>
    </row>
    <row r="216">
      <c r="A216" t="inlineStr">
        <is>
          <t>axle 1, left=B_ext</t>
        </is>
      </c>
      <c r="B216" s="13">
        <f>B_ext+half_B-$B$205</f>
        <v/>
      </c>
      <c r="C216" s="12">
        <f>SUMPRODUCT($E$205:$E$210*(((((($B216+$B$205:$B$210+half_B)+B_ext-ABS(($B216+$B$205:$B$210+half_B)-B_ext))/2)-((($B216+$B$205:$B$210-half_B)+ABS(($B216+$B$205:$B$210-half_B)))/2))+ABS((((($B216+$B$205:$B$210+half_B)+B_ext-ABS(($B216+$B$205:$B$210+half_B)-B_ext))/2)-((($B216+$B$205:$B$210-half_B)+ABS(($B216+$B$205:$B$210-half_B)))/2))))/2))/disp_B/disp_LL</f>
        <v/>
      </c>
    </row>
    <row r="217">
      <c r="A217" t="inlineStr">
        <is>
          <t>axle 2, right=0</t>
        </is>
      </c>
      <c r="B217" s="13">
        <f>-half_B-$B$206</f>
        <v/>
      </c>
      <c r="C217" s="12">
        <f>SUMPRODUCT($E$205:$E$210*(((((($B217+$B$205:$B$210+half_B)+B_ext-ABS(($B217+$B$205:$B$210+half_B)-B_ext))/2)-((($B217+$B$205:$B$210-half_B)+ABS(($B217+$B$205:$B$210-half_B)))/2))+ABS((((($B217+$B$205:$B$210+half_B)+B_ext-ABS(($B217+$B$205:$B$210+half_B)-B_ext))/2)-((($B217+$B$205:$B$210-half_B)+ABS(($B217+$B$205:$B$210-half_B)))/2))))/2))/disp_B/disp_LL</f>
        <v/>
      </c>
    </row>
    <row r="218">
      <c r="A218" t="inlineStr">
        <is>
          <t>axle 2, right=B_ext</t>
        </is>
      </c>
      <c r="B218" s="13">
        <f>B_ext-half_B-$B$206</f>
        <v/>
      </c>
      <c r="C218" s="12">
        <f>SUMPRODUCT($E$205:$E$210*(((((($B218+$B$205:$B$210+half_B)+B_ext-ABS(($B218+$B$205:$B$210+half_B)-B_ext))/2)-((($B218+$B$205:$B$210-half_B)+ABS(($B218+$B$205:$B$210-half_B)))/2))+ABS((((($B218+$B$205:$B$210+half_B)+B_ext-ABS(($B218+$B$205:$B$210+half_B)-B_ext))/2)-((($B218+$B$205:$B$210-half_B)+ABS(($B218+$B$205:$B$210-half_B)))/2))))/2))/disp_B/disp_LL</f>
        <v/>
      </c>
    </row>
    <row r="219">
      <c r="A219" t="inlineStr">
        <is>
          <t>axle 2, left=0</t>
        </is>
      </c>
      <c r="B219" s="13">
        <f>half_B-$B$206</f>
        <v/>
      </c>
      <c r="C219" s="12">
        <f>SUMPRODUCT($E$205:$E$210*(((((($B219+$B$205:$B$210+half_B)+B_ext-ABS(($B219+$B$205:$B$210+half_B)-B_ext))/2)-((($B219+$B$205:$B$210-half_B)+ABS(($B219+$B$205:$B$210-half_B)))/2))+ABS((((($B219+$B$205:$B$210+half_B)+B_ext-ABS(($B219+$B$205:$B$210+half_B)-B_ext))/2)-((($B219+$B$205:$B$210-half_B)+ABS(($B219+$B$205:$B$210-half_B)))/2))))/2))/disp_B/disp_LL</f>
        <v/>
      </c>
    </row>
    <row r="220">
      <c r="A220" t="inlineStr">
        <is>
          <t>axle 2, left=B_ext</t>
        </is>
      </c>
      <c r="B220" s="13">
        <f>B_ext+half_B-$B$206</f>
        <v/>
      </c>
      <c r="C220" s="12">
        <f>SUMPRODUCT($E$205:$E$210*(((((($B220+$B$205:$B$210+half_B)+B_ext-ABS(($B220+$B$205:$B$210+half_B)-B_ext))/2)-((($B220+$B$205:$B$210-half_B)+ABS(($B220+$B$205:$B$210-half_B)))/2))+ABS((((($B220+$B$205:$B$210+half_B)+B_ext-ABS(($B220+$B$205:$B$210+half_B)-B_ext))/2)-((($B220+$B$205:$B$210-half_B)+ABS(($B220+$B$205:$B$210-half_B)))/2))))/2))/disp_B/disp_LL</f>
        <v/>
      </c>
    </row>
    <row r="221">
      <c r="A221" t="inlineStr">
        <is>
          <t>axle 3, right=0</t>
        </is>
      </c>
      <c r="B221" s="13">
        <f>-half_B-$B$207</f>
        <v/>
      </c>
      <c r="C221" s="12">
        <f>SUMPRODUCT($E$205:$E$210*(((((($B221+$B$205:$B$210+half_B)+B_ext-ABS(($B221+$B$205:$B$210+half_B)-B_ext))/2)-((($B221+$B$205:$B$210-half_B)+ABS(($B221+$B$205:$B$210-half_B)))/2))+ABS((((($B221+$B$205:$B$210+half_B)+B_ext-ABS(($B221+$B$205:$B$210+half_B)-B_ext))/2)-((($B221+$B$205:$B$210-half_B)+ABS(($B221+$B$205:$B$210-half_B)))/2))))/2))/disp_B/disp_LL</f>
        <v/>
      </c>
    </row>
    <row r="222">
      <c r="A222" t="inlineStr">
        <is>
          <t>axle 3, right=B_ext</t>
        </is>
      </c>
      <c r="B222" s="13">
        <f>B_ext-half_B-$B$207</f>
        <v/>
      </c>
      <c r="C222" s="12">
        <f>SUMPRODUCT($E$205:$E$210*(((((($B222+$B$205:$B$210+half_B)+B_ext-ABS(($B222+$B$205:$B$210+half_B)-B_ext))/2)-((($B222+$B$205:$B$210-half_B)+ABS(($B222+$B$205:$B$210-half_B)))/2))+ABS((((($B222+$B$205:$B$210+half_B)+B_ext-ABS(($B222+$B$205:$B$210+half_B)-B_ext))/2)-((($B222+$B$205:$B$210-half_B)+ABS(($B222+$B$205:$B$210-half_B)))/2))))/2))/disp_B/disp_LL</f>
        <v/>
      </c>
    </row>
    <row r="223">
      <c r="A223" t="inlineStr">
        <is>
          <t>axle 3, left=0</t>
        </is>
      </c>
      <c r="B223" s="13">
        <f>half_B-$B$207</f>
        <v/>
      </c>
      <c r="C223" s="12">
        <f>SUMPRODUCT($E$205:$E$210*(((((($B223+$B$205:$B$210+half_B)+B_ext-ABS(($B223+$B$205:$B$210+half_B)-B_ext))/2)-((($B223+$B$205:$B$210-half_B)+ABS(($B223+$B$205:$B$210-half_B)))/2))+ABS((((($B223+$B$205:$B$210+half_B)+B_ext-ABS(($B223+$B$205:$B$210+half_B)-B_ext))/2)-((($B223+$B$205:$B$210-half_B)+ABS(($B223+$B$205:$B$210-half_B)))/2))))/2))/disp_B/disp_LL</f>
        <v/>
      </c>
    </row>
    <row r="224">
      <c r="A224" t="inlineStr">
        <is>
          <t>axle 3, left=B_ext</t>
        </is>
      </c>
      <c r="B224" s="13">
        <f>B_ext+half_B-$B$207</f>
        <v/>
      </c>
      <c r="C224" s="12">
        <f>SUMPRODUCT($E$205:$E$210*(((((($B224+$B$205:$B$210+half_B)+B_ext-ABS(($B224+$B$205:$B$210+half_B)-B_ext))/2)-((($B224+$B$205:$B$210-half_B)+ABS(($B224+$B$205:$B$210-half_B)))/2))+ABS((((($B224+$B$205:$B$210+half_B)+B_ext-ABS(($B224+$B$205:$B$210+half_B)-B_ext))/2)-((($B224+$B$205:$B$210-half_B)+ABS(($B224+$B$205:$B$210-half_B)))/2))))/2))/disp_B/disp_LL</f>
        <v/>
      </c>
    </row>
    <row r="225">
      <c r="A225" t="inlineStr">
        <is>
          <t>axle 4, right=0</t>
        </is>
      </c>
      <c r="B225" s="13">
        <f>-half_B-$B$208</f>
        <v/>
      </c>
      <c r="C225" s="12">
        <f>SUMPRODUCT($E$205:$E$210*(((((($B225+$B$205:$B$210+half_B)+B_ext-ABS(($B225+$B$205:$B$210+half_B)-B_ext))/2)-((($B225+$B$205:$B$210-half_B)+ABS(($B225+$B$205:$B$210-half_B)))/2))+ABS((((($B225+$B$205:$B$210+half_B)+B_ext-ABS(($B225+$B$205:$B$210+half_B)-B_ext))/2)-((($B225+$B$205:$B$210-half_B)+ABS(($B225+$B$205:$B$210-half_B)))/2))))/2))/disp_B/disp_LL</f>
        <v/>
      </c>
    </row>
    <row r="226">
      <c r="A226" t="inlineStr">
        <is>
          <t>axle 4, right=B_ext</t>
        </is>
      </c>
      <c r="B226" s="13">
        <f>B_ext-half_B-$B$208</f>
        <v/>
      </c>
      <c r="C226" s="12">
        <f>SUMPRODUCT($E$205:$E$210*(((((($B226+$B$205:$B$210+half_B)+B_ext-ABS(($B226+$B$205:$B$210+half_B)-B_ext))/2)-((($B226+$B$205:$B$210-half_B)+ABS(($B226+$B$205:$B$210-half_B)))/2))+ABS((((($B226+$B$205:$B$210+half_B)+B_ext-ABS(($B226+$B$205:$B$210+half_B)-B_ext))/2)-((($B226+$B$205:$B$210-half_B)+ABS(($B226+$B$205:$B$210-half_B)))/2))))/2))/disp_B/disp_LL</f>
        <v/>
      </c>
    </row>
    <row r="227">
      <c r="A227" t="inlineStr">
        <is>
          <t>axle 4, left=0</t>
        </is>
      </c>
      <c r="B227" s="13">
        <f>half_B-$B$208</f>
        <v/>
      </c>
      <c r="C227" s="12">
        <f>SUMPRODUCT($E$205:$E$210*(((((($B227+$B$205:$B$210+half_B)+B_ext-ABS(($B227+$B$205:$B$210+half_B)-B_ext))/2)-((($B227+$B$205:$B$210-half_B)+ABS(($B227+$B$205:$B$210-half_B)))/2))+ABS((((($B227+$B$205:$B$210+half_B)+B_ext-ABS(($B227+$B$205:$B$210+half_B)-B_ext))/2)-((($B227+$B$205:$B$210-half_B)+ABS(($B227+$B$205:$B$210-half_B)))/2))))/2))/disp_B/disp_LL</f>
        <v/>
      </c>
    </row>
    <row r="228">
      <c r="A228" t="inlineStr">
        <is>
          <t>axle 4, left=B_ext</t>
        </is>
      </c>
      <c r="B228" s="13">
        <f>B_ext+half_B-$B$208</f>
        <v/>
      </c>
      <c r="C228" s="12">
        <f>SUMPRODUCT($E$205:$E$210*(((((($B228+$B$205:$B$210+half_B)+B_ext-ABS(($B228+$B$205:$B$210+half_B)-B_ext))/2)-((($B228+$B$205:$B$210-half_B)+ABS(($B228+$B$205:$B$210-half_B)))/2))+ABS((((($B228+$B$205:$B$210+half_B)+B_ext-ABS(($B228+$B$205:$B$210+half_B)-B_ext))/2)-((($B228+$B$205:$B$210-half_B)+ABS(($B228+$B$205:$B$210-half_B)))/2))))/2))/disp_B/disp_LL</f>
        <v/>
      </c>
    </row>
    <row r="229">
      <c r="A229" t="inlineStr">
        <is>
          <t>axle 5, right=0</t>
        </is>
      </c>
      <c r="B229" s="13">
        <f>-half_B-$B$209</f>
        <v/>
      </c>
      <c r="C229" s="12">
        <f>SUMPRODUCT($E$205:$E$210*(((((($B229+$B$205:$B$210+half_B)+B_ext-ABS(($B229+$B$205:$B$210+half_B)-B_ext))/2)-((($B229+$B$205:$B$210-half_B)+ABS(($B229+$B$205:$B$210-half_B)))/2))+ABS((((($B229+$B$205:$B$210+half_B)+B_ext-ABS(($B229+$B$205:$B$210+half_B)-B_ext))/2)-((($B229+$B$205:$B$210-half_B)+ABS(($B229+$B$205:$B$210-half_B)))/2))))/2))/disp_B/disp_LL</f>
        <v/>
      </c>
    </row>
    <row r="230">
      <c r="A230" t="inlineStr">
        <is>
          <t>axle 5, right=B_ext</t>
        </is>
      </c>
      <c r="B230" s="13">
        <f>B_ext-half_B-$B$209</f>
        <v/>
      </c>
      <c r="C230" s="12">
        <f>SUMPRODUCT($E$205:$E$210*(((((($B230+$B$205:$B$210+half_B)+B_ext-ABS(($B230+$B$205:$B$210+half_B)-B_ext))/2)-((($B230+$B$205:$B$210-half_B)+ABS(($B230+$B$205:$B$210-half_B)))/2))+ABS((((($B230+$B$205:$B$210+half_B)+B_ext-ABS(($B230+$B$205:$B$210+half_B)-B_ext))/2)-((($B230+$B$205:$B$210-half_B)+ABS(($B230+$B$205:$B$210-half_B)))/2))))/2))/disp_B/disp_LL</f>
        <v/>
      </c>
    </row>
    <row r="231">
      <c r="A231" t="inlineStr">
        <is>
          <t>axle 5, left=0</t>
        </is>
      </c>
      <c r="B231" s="13">
        <f>half_B-$B$209</f>
        <v/>
      </c>
      <c r="C231" s="12">
        <f>SUMPRODUCT($E$205:$E$210*(((((($B231+$B$205:$B$210+half_B)+B_ext-ABS(($B231+$B$205:$B$210+half_B)-B_ext))/2)-((($B231+$B$205:$B$210-half_B)+ABS(($B231+$B$205:$B$210-half_B)))/2))+ABS((((($B231+$B$205:$B$210+half_B)+B_ext-ABS(($B231+$B$205:$B$210+half_B)-B_ext))/2)-((($B231+$B$205:$B$210-half_B)+ABS(($B231+$B$205:$B$210-half_B)))/2))))/2))/disp_B/disp_LL</f>
        <v/>
      </c>
    </row>
    <row r="232">
      <c r="A232" t="inlineStr">
        <is>
          <t>axle 5, left=B_ext</t>
        </is>
      </c>
      <c r="B232" s="13">
        <f>B_ext+half_B-$B$209</f>
        <v/>
      </c>
      <c r="C232" s="12">
        <f>SUMPRODUCT($E$205:$E$210*(((((($B232+$B$205:$B$210+half_B)+B_ext-ABS(($B232+$B$205:$B$210+half_B)-B_ext))/2)-((($B232+$B$205:$B$210-half_B)+ABS(($B232+$B$205:$B$210-half_B)))/2))+ABS((((($B232+$B$205:$B$210+half_B)+B_ext-ABS(($B232+$B$205:$B$210+half_B)-B_ext))/2)-((($B232+$B$205:$B$210-half_B)+ABS(($B232+$B$205:$B$210-half_B)))/2))))/2))/disp_B/disp_LL</f>
        <v/>
      </c>
    </row>
    <row r="233">
      <c r="A233" t="inlineStr">
        <is>
          <t>axle 6, right=0</t>
        </is>
      </c>
      <c r="B233" s="13">
        <f>-half_B-$B$210</f>
        <v/>
      </c>
      <c r="C233" s="12">
        <f>SUMPRODUCT($E$205:$E$210*(((((($B233+$B$205:$B$210+half_B)+B_ext-ABS(($B233+$B$205:$B$210+half_B)-B_ext))/2)-((($B233+$B$205:$B$210-half_B)+ABS(($B233+$B$205:$B$210-half_B)))/2))+ABS((((($B233+$B$205:$B$210+half_B)+B_ext-ABS(($B233+$B$205:$B$210+half_B)-B_ext))/2)-((($B233+$B$205:$B$210-half_B)+ABS(($B233+$B$205:$B$210-half_B)))/2))))/2))/disp_B/disp_LL</f>
        <v/>
      </c>
    </row>
    <row r="234">
      <c r="A234" t="inlineStr">
        <is>
          <t>axle 6, right=B_ext</t>
        </is>
      </c>
      <c r="B234" s="13">
        <f>B_ext-half_B-$B$210</f>
        <v/>
      </c>
      <c r="C234" s="12">
        <f>SUMPRODUCT($E$205:$E$210*(((((($B234+$B$205:$B$210+half_B)+B_ext-ABS(($B234+$B$205:$B$210+half_B)-B_ext))/2)-((($B234+$B$205:$B$210-half_B)+ABS(($B234+$B$205:$B$210-half_B)))/2))+ABS((((($B234+$B$205:$B$210+half_B)+B_ext-ABS(($B234+$B$205:$B$210+half_B)-B_ext))/2)-((($B234+$B$205:$B$210-half_B)+ABS(($B234+$B$205:$B$210-half_B)))/2))))/2))/disp_B/disp_LL</f>
        <v/>
      </c>
    </row>
    <row r="235">
      <c r="A235" t="inlineStr">
        <is>
          <t>axle 6, left=0</t>
        </is>
      </c>
      <c r="B235" s="13">
        <f>half_B-$B$210</f>
        <v/>
      </c>
      <c r="C235" s="12">
        <f>SUMPRODUCT($E$205:$E$210*(((((($B235+$B$205:$B$210+half_B)+B_ext-ABS(($B235+$B$205:$B$210+half_B)-B_ext))/2)-((($B235+$B$205:$B$210-half_B)+ABS(($B235+$B$205:$B$210-half_B)))/2))+ABS((((($B235+$B$205:$B$210+half_B)+B_ext-ABS(($B235+$B$205:$B$210+half_B)-B_ext))/2)-((($B235+$B$205:$B$210-half_B)+ABS(($B235+$B$205:$B$210-half_B)))/2))))/2))/disp_B/disp_LL</f>
        <v/>
      </c>
    </row>
    <row r="236">
      <c r="A236" t="inlineStr">
        <is>
          <t>axle 6, left=B_ext</t>
        </is>
      </c>
      <c r="B236" s="13">
        <f>B_ext+half_B-$B$210</f>
        <v/>
      </c>
      <c r="C236" s="12">
        <f>SUMPRODUCT($E$205:$E$210*(((((($B236+$B$205:$B$210+half_B)+B_ext-ABS(($B236+$B$205:$B$210+half_B)-B_ext))/2)-((($B236+$B$205:$B$210-half_B)+ABS(($B236+$B$205:$B$210-half_B)))/2))+ABS((((($B236+$B$205:$B$210+half_B)+B_ext-ABS(($B236+$B$205:$B$210+half_B)-B_ext))/2)-((($B236+$B$205:$B$210-half_B)+ABS(($B236+$B$205:$B$210-half_B)))/2))))/2))/disp_B/disp_LL</f>
        <v/>
      </c>
    </row>
    <row r="238">
      <c r="A238" t="inlineStr">
        <is>
          <t>SV100 block max, gap=9.0m (kN/m)</t>
        </is>
      </c>
      <c r="B238" s="12">
        <f>MAX(C213:C236)</f>
        <v/>
      </c>
    </row>
    <row r="240">
      <c r="A240" t="inlineStr">
        <is>
          <t>SV100 governing (max over all 3 gaps), kN/m</t>
        </is>
      </c>
      <c r="B240" s="12">
        <f>MAX('LM3'!$B$164,'LM3'!$B$201,'LM3'!$B$238)</f>
        <v/>
      </c>
    </row>
    <row r="242">
      <c r="A242" s="3" t="inlineStr">
        <is>
          <t>Worst-Case Position — SV196</t>
        </is>
      </c>
      <c r="B242" s="4" t="n"/>
      <c r="C242" s="4" t="n"/>
      <c r="D242" s="4" t="n"/>
      <c r="E242" s="4" t="n"/>
      <c r="F242" s="4" t="n"/>
    </row>
    <row r="243">
      <c r="A243" s="16" t="inlineStr">
        <is>
          <t>SV196 — inter-group gap = 1.2 m</t>
        </is>
      </c>
    </row>
    <row r="244">
      <c r="A244" s="7" t="inlineStr">
        <is>
          <t>Axle</t>
        </is>
      </c>
      <c r="B244" s="7" t="inlineStr">
        <is>
          <t>Position (m)</t>
        </is>
      </c>
      <c r="C244" s="7" t="inlineStr">
        <is>
          <t>Basic Load (kN)</t>
        </is>
      </c>
      <c r="D244" s="7" t="inlineStr">
        <is>
          <t>DAF</t>
        </is>
      </c>
      <c r="E244" s="7" t="inlineStr">
        <is>
          <t>Factored Load (kN)</t>
        </is>
      </c>
    </row>
    <row r="245">
      <c r="A245" t="n">
        <v>1</v>
      </c>
      <c r="B245" s="12" t="n">
        <v>0</v>
      </c>
      <c r="C245" s="11" t="n">
        <v>165</v>
      </c>
      <c r="D245" s="12" t="n">
        <v>1.12</v>
      </c>
      <c r="E245" s="12">
        <f>C245*D245</f>
        <v/>
      </c>
    </row>
    <row r="246">
      <c r="A246" t="n">
        <v>2</v>
      </c>
      <c r="B246" s="12" t="n">
        <v>1.2</v>
      </c>
      <c r="C246" s="11" t="n">
        <v>165</v>
      </c>
      <c r="D246" s="12" t="n">
        <v>1.12</v>
      </c>
      <c r="E246" s="12">
        <f>C246*D246</f>
        <v/>
      </c>
    </row>
    <row r="247">
      <c r="A247" t="n">
        <v>3</v>
      </c>
      <c r="B247" s="12" t="n">
        <v>2.4</v>
      </c>
      <c r="C247" s="11" t="n">
        <v>165</v>
      </c>
      <c r="D247" s="12" t="n">
        <v>1.12</v>
      </c>
      <c r="E247" s="12">
        <f>C247*D247</f>
        <v/>
      </c>
    </row>
    <row r="248">
      <c r="A248" t="n">
        <v>4</v>
      </c>
      <c r="B248" s="12" t="n">
        <v>3.6</v>
      </c>
      <c r="C248" s="11" t="n">
        <v>165</v>
      </c>
      <c r="D248" s="12" t="n">
        <v>1.12</v>
      </c>
      <c r="E248" s="12">
        <f>C248*D248</f>
        <v/>
      </c>
    </row>
    <row r="249">
      <c r="A249" t="n">
        <v>5</v>
      </c>
      <c r="B249" s="12" t="n">
        <v>4.8</v>
      </c>
      <c r="C249" s="11" t="n">
        <v>165</v>
      </c>
      <c r="D249" s="12" t="n">
        <v>1.12</v>
      </c>
      <c r="E249" s="12">
        <f>C249*D249</f>
        <v/>
      </c>
    </row>
    <row r="250">
      <c r="A250" t="n">
        <v>6</v>
      </c>
      <c r="B250" s="12" t="n">
        <v>6</v>
      </c>
      <c r="C250" s="11" t="n">
        <v>165</v>
      </c>
      <c r="D250" s="12" t="n">
        <v>1.12</v>
      </c>
      <c r="E250" s="12">
        <f>C250*D250</f>
        <v/>
      </c>
    </row>
    <row r="251">
      <c r="A251" t="n">
        <v>7</v>
      </c>
      <c r="B251" s="12" t="n">
        <v>7.2</v>
      </c>
      <c r="C251" s="11" t="n">
        <v>165</v>
      </c>
      <c r="D251" s="12" t="n">
        <v>1.12</v>
      </c>
      <c r="E251" s="12">
        <f>C251*D251</f>
        <v/>
      </c>
    </row>
    <row r="252">
      <c r="A252" t="n">
        <v>8</v>
      </c>
      <c r="B252" s="12" t="n">
        <v>8.4</v>
      </c>
      <c r="C252" s="11" t="n">
        <v>165</v>
      </c>
      <c r="D252" s="12" t="n">
        <v>1.12</v>
      </c>
      <c r="E252" s="12">
        <f>C252*D252</f>
        <v/>
      </c>
    </row>
    <row r="253">
      <c r="A253" t="n">
        <v>9</v>
      </c>
      <c r="B253" s="12" t="n">
        <v>9.6</v>
      </c>
      <c r="C253" s="11" t="n">
        <v>165</v>
      </c>
      <c r="D253" s="12" t="n">
        <v>1.12</v>
      </c>
      <c r="E253" s="12">
        <f>C253*D253</f>
        <v/>
      </c>
    </row>
    <row r="254">
      <c r="A254" t="n">
        <v>10</v>
      </c>
      <c r="B254" s="12" t="n">
        <v>13.6</v>
      </c>
      <c r="C254" s="11" t="n">
        <v>180</v>
      </c>
      <c r="D254" s="12" t="n">
        <v>1.1</v>
      </c>
      <c r="E254" s="12">
        <f>C254*D254</f>
        <v/>
      </c>
    </row>
    <row r="255">
      <c r="A255" t="n">
        <v>11</v>
      </c>
      <c r="B255" s="12" t="n">
        <v>15.2</v>
      </c>
      <c r="C255" s="11" t="n">
        <v>180</v>
      </c>
      <c r="D255" s="12" t="n">
        <v>1.1</v>
      </c>
      <c r="E255" s="12">
        <f>C255*D255</f>
        <v/>
      </c>
    </row>
    <row r="256">
      <c r="A256" t="n">
        <v>12</v>
      </c>
      <c r="B256" s="12" t="n">
        <v>19.6</v>
      </c>
      <c r="C256" s="11" t="n">
        <v>100</v>
      </c>
      <c r="D256" s="12" t="n">
        <v>1.2</v>
      </c>
      <c r="E256" s="12">
        <f>C256*D256</f>
        <v/>
      </c>
    </row>
    <row r="258">
      <c r="A258" s="7" t="inlineStr">
        <is>
          <t>Breakpoint candidate offset</t>
        </is>
      </c>
      <c r="B258" s="7" t="inlineStr">
        <is>
          <t>Offset (m)</t>
        </is>
      </c>
      <c r="C258" s="7" t="inlineStr">
        <is>
          <t>Total landed load at this offset (kN/m)</t>
        </is>
      </c>
    </row>
    <row r="259">
      <c r="A259" t="inlineStr">
        <is>
          <t>axle 1, right=0</t>
        </is>
      </c>
      <c r="B259" s="13">
        <f>-half_B-$B$245</f>
        <v/>
      </c>
      <c r="C259" s="12">
        <f>SUMPRODUCT($E$245:$E$256*(((((($B259+$B$245:$B$256+half_B)+B_ext-ABS(($B259+$B$245:$B$256+half_B)-B_ext))/2)-((($B259+$B$245:$B$256-half_B)+ABS(($B259+$B$245:$B$256-half_B)))/2))+ABS((((($B259+$B$245:$B$256+half_B)+B_ext-ABS(($B259+$B$245:$B$256+half_B)-B_ext))/2)-((($B259+$B$245:$B$256-half_B)+ABS(($B259+$B$245:$B$256-half_B)))/2))))/2))/disp_B/disp_LL</f>
        <v/>
      </c>
    </row>
    <row r="260">
      <c r="A260" t="inlineStr">
        <is>
          <t>axle 1, right=B_ext</t>
        </is>
      </c>
      <c r="B260" s="13">
        <f>B_ext-half_B-$B$245</f>
        <v/>
      </c>
      <c r="C260" s="12">
        <f>SUMPRODUCT($E$245:$E$256*(((((($B260+$B$245:$B$256+half_B)+B_ext-ABS(($B260+$B$245:$B$256+half_B)-B_ext))/2)-((($B260+$B$245:$B$256-half_B)+ABS(($B260+$B$245:$B$256-half_B)))/2))+ABS((((($B260+$B$245:$B$256+half_B)+B_ext-ABS(($B260+$B$245:$B$256+half_B)-B_ext))/2)-((($B260+$B$245:$B$256-half_B)+ABS(($B260+$B$245:$B$256-half_B)))/2))))/2))/disp_B/disp_LL</f>
        <v/>
      </c>
    </row>
    <row r="261">
      <c r="A261" t="inlineStr">
        <is>
          <t>axle 1, left=0</t>
        </is>
      </c>
      <c r="B261" s="13">
        <f>half_B-$B$245</f>
        <v/>
      </c>
      <c r="C261" s="12">
        <f>SUMPRODUCT($E$245:$E$256*(((((($B261+$B$245:$B$256+half_B)+B_ext-ABS(($B261+$B$245:$B$256+half_B)-B_ext))/2)-((($B261+$B$245:$B$256-half_B)+ABS(($B261+$B$245:$B$256-half_B)))/2))+ABS((((($B261+$B$245:$B$256+half_B)+B_ext-ABS(($B261+$B$245:$B$256+half_B)-B_ext))/2)-((($B261+$B$245:$B$256-half_B)+ABS(($B261+$B$245:$B$256-half_B)))/2))))/2))/disp_B/disp_LL</f>
        <v/>
      </c>
    </row>
    <row r="262">
      <c r="A262" t="inlineStr">
        <is>
          <t>axle 1, left=B_ext</t>
        </is>
      </c>
      <c r="B262" s="13">
        <f>B_ext+half_B-$B$245</f>
        <v/>
      </c>
      <c r="C262" s="12">
        <f>SUMPRODUCT($E$245:$E$256*(((((($B262+$B$245:$B$256+half_B)+B_ext-ABS(($B262+$B$245:$B$256+half_B)-B_ext))/2)-((($B262+$B$245:$B$256-half_B)+ABS(($B262+$B$245:$B$256-half_B)))/2))+ABS((((($B262+$B$245:$B$256+half_B)+B_ext-ABS(($B262+$B$245:$B$256+half_B)-B_ext))/2)-((($B262+$B$245:$B$256-half_B)+ABS(($B262+$B$245:$B$256-half_B)))/2))))/2))/disp_B/disp_LL</f>
        <v/>
      </c>
    </row>
    <row r="263">
      <c r="A263" t="inlineStr">
        <is>
          <t>axle 2, right=0</t>
        </is>
      </c>
      <c r="B263" s="13">
        <f>-half_B-$B$246</f>
        <v/>
      </c>
      <c r="C263" s="12">
        <f>SUMPRODUCT($E$245:$E$256*(((((($B263+$B$245:$B$256+half_B)+B_ext-ABS(($B263+$B$245:$B$256+half_B)-B_ext))/2)-((($B263+$B$245:$B$256-half_B)+ABS(($B263+$B$245:$B$256-half_B)))/2))+ABS((((($B263+$B$245:$B$256+half_B)+B_ext-ABS(($B263+$B$245:$B$256+half_B)-B_ext))/2)-((($B263+$B$245:$B$256-half_B)+ABS(($B263+$B$245:$B$256-half_B)))/2))))/2))/disp_B/disp_LL</f>
        <v/>
      </c>
    </row>
    <row r="264">
      <c r="A264" t="inlineStr">
        <is>
          <t>axle 2, right=B_ext</t>
        </is>
      </c>
      <c r="B264" s="13">
        <f>B_ext-half_B-$B$246</f>
        <v/>
      </c>
      <c r="C264" s="12">
        <f>SUMPRODUCT($E$245:$E$256*(((((($B264+$B$245:$B$256+half_B)+B_ext-ABS(($B264+$B$245:$B$256+half_B)-B_ext))/2)-((($B264+$B$245:$B$256-half_B)+ABS(($B264+$B$245:$B$256-half_B)))/2))+ABS((((($B264+$B$245:$B$256+half_B)+B_ext-ABS(($B264+$B$245:$B$256+half_B)-B_ext))/2)-((($B264+$B$245:$B$256-half_B)+ABS(($B264+$B$245:$B$256-half_B)))/2))))/2))/disp_B/disp_LL</f>
        <v/>
      </c>
    </row>
    <row r="265">
      <c r="A265" t="inlineStr">
        <is>
          <t>axle 2, left=0</t>
        </is>
      </c>
      <c r="B265" s="13">
        <f>half_B-$B$246</f>
        <v/>
      </c>
      <c r="C265" s="12">
        <f>SUMPRODUCT($E$245:$E$256*(((((($B265+$B$245:$B$256+half_B)+B_ext-ABS(($B265+$B$245:$B$256+half_B)-B_ext))/2)-((($B265+$B$245:$B$256-half_B)+ABS(($B265+$B$245:$B$256-half_B)))/2))+ABS((((($B265+$B$245:$B$256+half_B)+B_ext-ABS(($B265+$B$245:$B$256+half_B)-B_ext))/2)-((($B265+$B$245:$B$256-half_B)+ABS(($B265+$B$245:$B$256-half_B)))/2))))/2))/disp_B/disp_LL</f>
        <v/>
      </c>
    </row>
    <row r="266">
      <c r="A266" t="inlineStr">
        <is>
          <t>axle 2, left=B_ext</t>
        </is>
      </c>
      <c r="B266" s="13">
        <f>B_ext+half_B-$B$246</f>
        <v/>
      </c>
      <c r="C266" s="12">
        <f>SUMPRODUCT($E$245:$E$256*(((((($B266+$B$245:$B$256+half_B)+B_ext-ABS(($B266+$B$245:$B$256+half_B)-B_ext))/2)-((($B266+$B$245:$B$256-half_B)+ABS(($B266+$B$245:$B$256-half_B)))/2))+ABS((((($B266+$B$245:$B$256+half_B)+B_ext-ABS(($B266+$B$245:$B$256+half_B)-B_ext))/2)-((($B266+$B$245:$B$256-half_B)+ABS(($B266+$B$245:$B$256-half_B)))/2))))/2))/disp_B/disp_LL</f>
        <v/>
      </c>
    </row>
    <row r="267">
      <c r="A267" t="inlineStr">
        <is>
          <t>axle 3, right=0</t>
        </is>
      </c>
      <c r="B267" s="13">
        <f>-half_B-$B$247</f>
        <v/>
      </c>
      <c r="C267" s="12">
        <f>SUMPRODUCT($E$245:$E$256*(((((($B267+$B$245:$B$256+half_B)+B_ext-ABS(($B267+$B$245:$B$256+half_B)-B_ext))/2)-((($B267+$B$245:$B$256-half_B)+ABS(($B267+$B$245:$B$256-half_B)))/2))+ABS((((($B267+$B$245:$B$256+half_B)+B_ext-ABS(($B267+$B$245:$B$256+half_B)-B_ext))/2)-((($B267+$B$245:$B$256-half_B)+ABS(($B267+$B$245:$B$256-half_B)))/2))))/2))/disp_B/disp_LL</f>
        <v/>
      </c>
    </row>
    <row r="268">
      <c r="A268" t="inlineStr">
        <is>
          <t>axle 3, right=B_ext</t>
        </is>
      </c>
      <c r="B268" s="13">
        <f>B_ext-half_B-$B$247</f>
        <v/>
      </c>
      <c r="C268" s="12">
        <f>SUMPRODUCT($E$245:$E$256*(((((($B268+$B$245:$B$256+half_B)+B_ext-ABS(($B268+$B$245:$B$256+half_B)-B_ext))/2)-((($B268+$B$245:$B$256-half_B)+ABS(($B268+$B$245:$B$256-half_B)))/2))+ABS((((($B268+$B$245:$B$256+half_B)+B_ext-ABS(($B268+$B$245:$B$256+half_B)-B_ext))/2)-((($B268+$B$245:$B$256-half_B)+ABS(($B268+$B$245:$B$256-half_B)))/2))))/2))/disp_B/disp_LL</f>
        <v/>
      </c>
    </row>
    <row r="269">
      <c r="A269" t="inlineStr">
        <is>
          <t>axle 3, left=0</t>
        </is>
      </c>
      <c r="B269" s="13">
        <f>half_B-$B$247</f>
        <v/>
      </c>
      <c r="C269" s="12">
        <f>SUMPRODUCT($E$245:$E$256*(((((($B269+$B$245:$B$256+half_B)+B_ext-ABS(($B269+$B$245:$B$256+half_B)-B_ext))/2)-((($B269+$B$245:$B$256-half_B)+ABS(($B269+$B$245:$B$256-half_B)))/2))+ABS((((($B269+$B$245:$B$256+half_B)+B_ext-ABS(($B269+$B$245:$B$256+half_B)-B_ext))/2)-((($B269+$B$245:$B$256-half_B)+ABS(($B269+$B$245:$B$256-half_B)))/2))))/2))/disp_B/disp_LL</f>
        <v/>
      </c>
    </row>
    <row r="270">
      <c r="A270" t="inlineStr">
        <is>
          <t>axle 3, left=B_ext</t>
        </is>
      </c>
      <c r="B270" s="13">
        <f>B_ext+half_B-$B$247</f>
        <v/>
      </c>
      <c r="C270" s="12">
        <f>SUMPRODUCT($E$245:$E$256*(((((($B270+$B$245:$B$256+half_B)+B_ext-ABS(($B270+$B$245:$B$256+half_B)-B_ext))/2)-((($B270+$B$245:$B$256-half_B)+ABS(($B270+$B$245:$B$256-half_B)))/2))+ABS((((($B270+$B$245:$B$256+half_B)+B_ext-ABS(($B270+$B$245:$B$256+half_B)-B_ext))/2)-((($B270+$B$245:$B$256-half_B)+ABS(($B270+$B$245:$B$256-half_B)))/2))))/2))/disp_B/disp_LL</f>
        <v/>
      </c>
    </row>
    <row r="271">
      <c r="A271" t="inlineStr">
        <is>
          <t>axle 4, right=0</t>
        </is>
      </c>
      <c r="B271" s="13">
        <f>-half_B-$B$248</f>
        <v/>
      </c>
      <c r="C271" s="12">
        <f>SUMPRODUCT($E$245:$E$256*(((((($B271+$B$245:$B$256+half_B)+B_ext-ABS(($B271+$B$245:$B$256+half_B)-B_ext))/2)-((($B271+$B$245:$B$256-half_B)+ABS(($B271+$B$245:$B$256-half_B)))/2))+ABS((((($B271+$B$245:$B$256+half_B)+B_ext-ABS(($B271+$B$245:$B$256+half_B)-B_ext))/2)-((($B271+$B$245:$B$256-half_B)+ABS(($B271+$B$245:$B$256-half_B)))/2))))/2))/disp_B/disp_LL</f>
        <v/>
      </c>
    </row>
    <row r="272">
      <c r="A272" t="inlineStr">
        <is>
          <t>axle 4, right=B_ext</t>
        </is>
      </c>
      <c r="B272" s="13">
        <f>B_ext-half_B-$B$248</f>
        <v/>
      </c>
      <c r="C272" s="12">
        <f>SUMPRODUCT($E$245:$E$256*(((((($B272+$B$245:$B$256+half_B)+B_ext-ABS(($B272+$B$245:$B$256+half_B)-B_ext))/2)-((($B272+$B$245:$B$256-half_B)+ABS(($B272+$B$245:$B$256-half_B)))/2))+ABS((((($B272+$B$245:$B$256+half_B)+B_ext-ABS(($B272+$B$245:$B$256+half_B)-B_ext))/2)-((($B272+$B$245:$B$256-half_B)+ABS(($B272+$B$245:$B$256-half_B)))/2))))/2))/disp_B/disp_LL</f>
        <v/>
      </c>
    </row>
    <row r="273">
      <c r="A273" t="inlineStr">
        <is>
          <t>axle 4, left=0</t>
        </is>
      </c>
      <c r="B273" s="13">
        <f>half_B-$B$248</f>
        <v/>
      </c>
      <c r="C273" s="12">
        <f>SUMPRODUCT($E$245:$E$256*(((((($B273+$B$245:$B$256+half_B)+B_ext-ABS(($B273+$B$245:$B$256+half_B)-B_ext))/2)-((($B273+$B$245:$B$256-half_B)+ABS(($B273+$B$245:$B$256-half_B)))/2))+ABS((((($B273+$B$245:$B$256+half_B)+B_ext-ABS(($B273+$B$245:$B$256+half_B)-B_ext))/2)-((($B273+$B$245:$B$256-half_B)+ABS(($B273+$B$245:$B$256-half_B)))/2))))/2))/disp_B/disp_LL</f>
        <v/>
      </c>
    </row>
    <row r="274">
      <c r="A274" t="inlineStr">
        <is>
          <t>axle 4, left=B_ext</t>
        </is>
      </c>
      <c r="B274" s="13">
        <f>B_ext+half_B-$B$248</f>
        <v/>
      </c>
      <c r="C274" s="12">
        <f>SUMPRODUCT($E$245:$E$256*(((((($B274+$B$245:$B$256+half_B)+B_ext-ABS(($B274+$B$245:$B$256+half_B)-B_ext))/2)-((($B274+$B$245:$B$256-half_B)+ABS(($B274+$B$245:$B$256-half_B)))/2))+ABS((((($B274+$B$245:$B$256+half_B)+B_ext-ABS(($B274+$B$245:$B$256+half_B)-B_ext))/2)-((($B274+$B$245:$B$256-half_B)+ABS(($B274+$B$245:$B$256-half_B)))/2))))/2))/disp_B/disp_LL</f>
        <v/>
      </c>
    </row>
    <row r="275">
      <c r="A275" t="inlineStr">
        <is>
          <t>axle 5, right=0</t>
        </is>
      </c>
      <c r="B275" s="13">
        <f>-half_B-$B$249</f>
        <v/>
      </c>
      <c r="C275" s="12">
        <f>SUMPRODUCT($E$245:$E$256*(((((($B275+$B$245:$B$256+half_B)+B_ext-ABS(($B275+$B$245:$B$256+half_B)-B_ext))/2)-((($B275+$B$245:$B$256-half_B)+ABS(($B275+$B$245:$B$256-half_B)))/2))+ABS((((($B275+$B$245:$B$256+half_B)+B_ext-ABS(($B275+$B$245:$B$256+half_B)-B_ext))/2)-((($B275+$B$245:$B$256-half_B)+ABS(($B275+$B$245:$B$256-half_B)))/2))))/2))/disp_B/disp_LL</f>
        <v/>
      </c>
    </row>
    <row r="276">
      <c r="A276" t="inlineStr">
        <is>
          <t>axle 5, right=B_ext</t>
        </is>
      </c>
      <c r="B276" s="13">
        <f>B_ext-half_B-$B$249</f>
        <v/>
      </c>
      <c r="C276" s="12">
        <f>SUMPRODUCT($E$245:$E$256*(((((($B276+$B$245:$B$256+half_B)+B_ext-ABS(($B276+$B$245:$B$256+half_B)-B_ext))/2)-((($B276+$B$245:$B$256-half_B)+ABS(($B276+$B$245:$B$256-half_B)))/2))+ABS((((($B276+$B$245:$B$256+half_B)+B_ext-ABS(($B276+$B$245:$B$256+half_B)-B_ext))/2)-((($B276+$B$245:$B$256-half_B)+ABS(($B276+$B$245:$B$256-half_B)))/2))))/2))/disp_B/disp_LL</f>
        <v/>
      </c>
    </row>
    <row r="277">
      <c r="A277" t="inlineStr">
        <is>
          <t>axle 5, left=0</t>
        </is>
      </c>
      <c r="B277" s="13">
        <f>half_B-$B$249</f>
        <v/>
      </c>
      <c r="C277" s="12">
        <f>SUMPRODUCT($E$245:$E$256*(((((($B277+$B$245:$B$256+half_B)+B_ext-ABS(($B277+$B$245:$B$256+half_B)-B_ext))/2)-((($B277+$B$245:$B$256-half_B)+ABS(($B277+$B$245:$B$256-half_B)))/2))+ABS((((($B277+$B$245:$B$256+half_B)+B_ext-ABS(($B277+$B$245:$B$256+half_B)-B_ext))/2)-((($B277+$B$245:$B$256-half_B)+ABS(($B277+$B$245:$B$256-half_B)))/2))))/2))/disp_B/disp_LL</f>
        <v/>
      </c>
    </row>
    <row r="278">
      <c r="A278" t="inlineStr">
        <is>
          <t>axle 5, left=B_ext</t>
        </is>
      </c>
      <c r="B278" s="13">
        <f>B_ext+half_B-$B$249</f>
        <v/>
      </c>
      <c r="C278" s="12">
        <f>SUMPRODUCT($E$245:$E$256*(((((($B278+$B$245:$B$256+half_B)+B_ext-ABS(($B278+$B$245:$B$256+half_B)-B_ext))/2)-((($B278+$B$245:$B$256-half_B)+ABS(($B278+$B$245:$B$256-half_B)))/2))+ABS((((($B278+$B$245:$B$256+half_B)+B_ext-ABS(($B278+$B$245:$B$256+half_B)-B_ext))/2)-((($B278+$B$245:$B$256-half_B)+ABS(($B278+$B$245:$B$256-half_B)))/2))))/2))/disp_B/disp_LL</f>
        <v/>
      </c>
    </row>
    <row r="279">
      <c r="A279" t="inlineStr">
        <is>
          <t>axle 6, right=0</t>
        </is>
      </c>
      <c r="B279" s="13">
        <f>-half_B-$B$250</f>
        <v/>
      </c>
      <c r="C279" s="12">
        <f>SUMPRODUCT($E$245:$E$256*(((((($B279+$B$245:$B$256+half_B)+B_ext-ABS(($B279+$B$245:$B$256+half_B)-B_ext))/2)-((($B279+$B$245:$B$256-half_B)+ABS(($B279+$B$245:$B$256-half_B)))/2))+ABS((((($B279+$B$245:$B$256+half_B)+B_ext-ABS(($B279+$B$245:$B$256+half_B)-B_ext))/2)-((($B279+$B$245:$B$256-half_B)+ABS(($B279+$B$245:$B$256-half_B)))/2))))/2))/disp_B/disp_LL</f>
        <v/>
      </c>
    </row>
    <row r="280">
      <c r="A280" t="inlineStr">
        <is>
          <t>axle 6, right=B_ext</t>
        </is>
      </c>
      <c r="B280" s="13">
        <f>B_ext-half_B-$B$250</f>
        <v/>
      </c>
      <c r="C280" s="12">
        <f>SUMPRODUCT($E$245:$E$256*(((((($B280+$B$245:$B$256+half_B)+B_ext-ABS(($B280+$B$245:$B$256+half_B)-B_ext))/2)-((($B280+$B$245:$B$256-half_B)+ABS(($B280+$B$245:$B$256-half_B)))/2))+ABS((((($B280+$B$245:$B$256+half_B)+B_ext-ABS(($B280+$B$245:$B$256+half_B)-B_ext))/2)-((($B280+$B$245:$B$256-half_B)+ABS(($B280+$B$245:$B$256-half_B)))/2))))/2))/disp_B/disp_LL</f>
        <v/>
      </c>
    </row>
    <row r="281">
      <c r="A281" t="inlineStr">
        <is>
          <t>axle 6, left=0</t>
        </is>
      </c>
      <c r="B281" s="13">
        <f>half_B-$B$250</f>
        <v/>
      </c>
      <c r="C281" s="12">
        <f>SUMPRODUCT($E$245:$E$256*(((((($B281+$B$245:$B$256+half_B)+B_ext-ABS(($B281+$B$245:$B$256+half_B)-B_ext))/2)-((($B281+$B$245:$B$256-half_B)+ABS(($B281+$B$245:$B$256-half_B)))/2))+ABS((((($B281+$B$245:$B$256+half_B)+B_ext-ABS(($B281+$B$245:$B$256+half_B)-B_ext))/2)-((($B281+$B$245:$B$256-half_B)+ABS(($B281+$B$245:$B$256-half_B)))/2))))/2))/disp_B/disp_LL</f>
        <v/>
      </c>
    </row>
    <row r="282">
      <c r="A282" t="inlineStr">
        <is>
          <t>axle 6, left=B_ext</t>
        </is>
      </c>
      <c r="B282" s="13">
        <f>B_ext+half_B-$B$250</f>
        <v/>
      </c>
      <c r="C282" s="12">
        <f>SUMPRODUCT($E$245:$E$256*(((((($B282+$B$245:$B$256+half_B)+B_ext-ABS(($B282+$B$245:$B$256+half_B)-B_ext))/2)-((($B282+$B$245:$B$256-half_B)+ABS(($B282+$B$245:$B$256-half_B)))/2))+ABS((((($B282+$B$245:$B$256+half_B)+B_ext-ABS(($B282+$B$245:$B$256+half_B)-B_ext))/2)-((($B282+$B$245:$B$256-half_B)+ABS(($B282+$B$245:$B$256-half_B)))/2))))/2))/disp_B/disp_LL</f>
        <v/>
      </c>
    </row>
    <row r="283">
      <c r="A283" t="inlineStr">
        <is>
          <t>axle 7, right=0</t>
        </is>
      </c>
      <c r="B283" s="13">
        <f>-half_B-$B$251</f>
        <v/>
      </c>
      <c r="C283" s="12">
        <f>SUMPRODUCT($E$245:$E$256*(((((($B283+$B$245:$B$256+half_B)+B_ext-ABS(($B283+$B$245:$B$256+half_B)-B_ext))/2)-((($B283+$B$245:$B$256-half_B)+ABS(($B283+$B$245:$B$256-half_B)))/2))+ABS((((($B283+$B$245:$B$256+half_B)+B_ext-ABS(($B283+$B$245:$B$256+half_B)-B_ext))/2)-((($B283+$B$245:$B$256-half_B)+ABS(($B283+$B$245:$B$256-half_B)))/2))))/2))/disp_B/disp_LL</f>
        <v/>
      </c>
    </row>
    <row r="284">
      <c r="A284" t="inlineStr">
        <is>
          <t>axle 7, right=B_ext</t>
        </is>
      </c>
      <c r="B284" s="13">
        <f>B_ext-half_B-$B$251</f>
        <v/>
      </c>
      <c r="C284" s="12">
        <f>SUMPRODUCT($E$245:$E$256*(((((($B284+$B$245:$B$256+half_B)+B_ext-ABS(($B284+$B$245:$B$256+half_B)-B_ext))/2)-((($B284+$B$245:$B$256-half_B)+ABS(($B284+$B$245:$B$256-half_B)))/2))+ABS((((($B284+$B$245:$B$256+half_B)+B_ext-ABS(($B284+$B$245:$B$256+half_B)-B_ext))/2)-((($B284+$B$245:$B$256-half_B)+ABS(($B284+$B$245:$B$256-half_B)))/2))))/2))/disp_B/disp_LL</f>
        <v/>
      </c>
    </row>
    <row r="285">
      <c r="A285" t="inlineStr">
        <is>
          <t>axle 7, left=0</t>
        </is>
      </c>
      <c r="B285" s="13">
        <f>half_B-$B$251</f>
        <v/>
      </c>
      <c r="C285" s="12">
        <f>SUMPRODUCT($E$245:$E$256*(((((($B285+$B$245:$B$256+half_B)+B_ext-ABS(($B285+$B$245:$B$256+half_B)-B_ext))/2)-((($B285+$B$245:$B$256-half_B)+ABS(($B285+$B$245:$B$256-half_B)))/2))+ABS((((($B285+$B$245:$B$256+half_B)+B_ext-ABS(($B285+$B$245:$B$256+half_B)-B_ext))/2)-((($B285+$B$245:$B$256-half_B)+ABS(($B285+$B$245:$B$256-half_B)))/2))))/2))/disp_B/disp_LL</f>
        <v/>
      </c>
    </row>
    <row r="286">
      <c r="A286" t="inlineStr">
        <is>
          <t>axle 7, left=B_ext</t>
        </is>
      </c>
      <c r="B286" s="13">
        <f>B_ext+half_B-$B$251</f>
        <v/>
      </c>
      <c r="C286" s="12">
        <f>SUMPRODUCT($E$245:$E$256*(((((($B286+$B$245:$B$256+half_B)+B_ext-ABS(($B286+$B$245:$B$256+half_B)-B_ext))/2)-((($B286+$B$245:$B$256-half_B)+ABS(($B286+$B$245:$B$256-half_B)))/2))+ABS((((($B286+$B$245:$B$256+half_B)+B_ext-ABS(($B286+$B$245:$B$256+half_B)-B_ext))/2)-((($B286+$B$245:$B$256-half_B)+ABS(($B286+$B$245:$B$256-half_B)))/2))))/2))/disp_B/disp_LL</f>
        <v/>
      </c>
    </row>
    <row r="287">
      <c r="A287" t="inlineStr">
        <is>
          <t>axle 8, right=0</t>
        </is>
      </c>
      <c r="B287" s="13">
        <f>-half_B-$B$252</f>
        <v/>
      </c>
      <c r="C287" s="12">
        <f>SUMPRODUCT($E$245:$E$256*(((((($B287+$B$245:$B$256+half_B)+B_ext-ABS(($B287+$B$245:$B$256+half_B)-B_ext))/2)-((($B287+$B$245:$B$256-half_B)+ABS(($B287+$B$245:$B$256-half_B)))/2))+ABS((((($B287+$B$245:$B$256+half_B)+B_ext-ABS(($B287+$B$245:$B$256+half_B)-B_ext))/2)-((($B287+$B$245:$B$256-half_B)+ABS(($B287+$B$245:$B$256-half_B)))/2))))/2))/disp_B/disp_LL</f>
        <v/>
      </c>
    </row>
    <row r="288">
      <c r="A288" t="inlineStr">
        <is>
          <t>axle 8, right=B_ext</t>
        </is>
      </c>
      <c r="B288" s="13">
        <f>B_ext-half_B-$B$252</f>
        <v/>
      </c>
      <c r="C288" s="12">
        <f>SUMPRODUCT($E$245:$E$256*(((((($B288+$B$245:$B$256+half_B)+B_ext-ABS(($B288+$B$245:$B$256+half_B)-B_ext))/2)-((($B288+$B$245:$B$256-half_B)+ABS(($B288+$B$245:$B$256-half_B)))/2))+ABS((((($B288+$B$245:$B$256+half_B)+B_ext-ABS(($B288+$B$245:$B$256+half_B)-B_ext))/2)-((($B288+$B$245:$B$256-half_B)+ABS(($B288+$B$245:$B$256-half_B)))/2))))/2))/disp_B/disp_LL</f>
        <v/>
      </c>
    </row>
    <row r="289">
      <c r="A289" t="inlineStr">
        <is>
          <t>axle 8, left=0</t>
        </is>
      </c>
      <c r="B289" s="13">
        <f>half_B-$B$252</f>
        <v/>
      </c>
      <c r="C289" s="12">
        <f>SUMPRODUCT($E$245:$E$256*(((((($B289+$B$245:$B$256+half_B)+B_ext-ABS(($B289+$B$245:$B$256+half_B)-B_ext))/2)-((($B289+$B$245:$B$256-half_B)+ABS(($B289+$B$245:$B$256-half_B)))/2))+ABS((((($B289+$B$245:$B$256+half_B)+B_ext-ABS(($B289+$B$245:$B$256+half_B)-B_ext))/2)-((($B289+$B$245:$B$256-half_B)+ABS(($B289+$B$245:$B$256-half_B)))/2))))/2))/disp_B/disp_LL</f>
        <v/>
      </c>
    </row>
    <row r="290">
      <c r="A290" t="inlineStr">
        <is>
          <t>axle 8, left=B_ext</t>
        </is>
      </c>
      <c r="B290" s="13">
        <f>B_ext+half_B-$B$252</f>
        <v/>
      </c>
      <c r="C290" s="12">
        <f>SUMPRODUCT($E$245:$E$256*(((((($B290+$B$245:$B$256+half_B)+B_ext-ABS(($B290+$B$245:$B$256+half_B)-B_ext))/2)-((($B290+$B$245:$B$256-half_B)+ABS(($B290+$B$245:$B$256-half_B)))/2))+ABS((((($B290+$B$245:$B$256+half_B)+B_ext-ABS(($B290+$B$245:$B$256+half_B)-B_ext))/2)-((($B290+$B$245:$B$256-half_B)+ABS(($B290+$B$245:$B$256-half_B)))/2))))/2))/disp_B/disp_LL</f>
        <v/>
      </c>
    </row>
    <row r="291">
      <c r="A291" t="inlineStr">
        <is>
          <t>axle 9, right=0</t>
        </is>
      </c>
      <c r="B291" s="13">
        <f>-half_B-$B$253</f>
        <v/>
      </c>
      <c r="C291" s="12">
        <f>SUMPRODUCT($E$245:$E$256*(((((($B291+$B$245:$B$256+half_B)+B_ext-ABS(($B291+$B$245:$B$256+half_B)-B_ext))/2)-((($B291+$B$245:$B$256-half_B)+ABS(($B291+$B$245:$B$256-half_B)))/2))+ABS((((($B291+$B$245:$B$256+half_B)+B_ext-ABS(($B291+$B$245:$B$256+half_B)-B_ext))/2)-((($B291+$B$245:$B$256-half_B)+ABS(($B291+$B$245:$B$256-half_B)))/2))))/2))/disp_B/disp_LL</f>
        <v/>
      </c>
    </row>
    <row r="292">
      <c r="A292" t="inlineStr">
        <is>
          <t>axle 9, right=B_ext</t>
        </is>
      </c>
      <c r="B292" s="13">
        <f>B_ext-half_B-$B$253</f>
        <v/>
      </c>
      <c r="C292" s="12">
        <f>SUMPRODUCT($E$245:$E$256*(((((($B292+$B$245:$B$256+half_B)+B_ext-ABS(($B292+$B$245:$B$256+half_B)-B_ext))/2)-((($B292+$B$245:$B$256-half_B)+ABS(($B292+$B$245:$B$256-half_B)))/2))+ABS((((($B292+$B$245:$B$256+half_B)+B_ext-ABS(($B292+$B$245:$B$256+half_B)-B_ext))/2)-((($B292+$B$245:$B$256-half_B)+ABS(($B292+$B$245:$B$256-half_B)))/2))))/2))/disp_B/disp_LL</f>
        <v/>
      </c>
    </row>
    <row r="293">
      <c r="A293" t="inlineStr">
        <is>
          <t>axle 9, left=0</t>
        </is>
      </c>
      <c r="B293" s="13">
        <f>half_B-$B$253</f>
        <v/>
      </c>
      <c r="C293" s="12">
        <f>SUMPRODUCT($E$245:$E$256*(((((($B293+$B$245:$B$256+half_B)+B_ext-ABS(($B293+$B$245:$B$256+half_B)-B_ext))/2)-((($B293+$B$245:$B$256-half_B)+ABS(($B293+$B$245:$B$256-half_B)))/2))+ABS((((($B293+$B$245:$B$256+half_B)+B_ext-ABS(($B293+$B$245:$B$256+half_B)-B_ext))/2)-((($B293+$B$245:$B$256-half_B)+ABS(($B293+$B$245:$B$256-half_B)))/2))))/2))/disp_B/disp_LL</f>
        <v/>
      </c>
    </row>
    <row r="294">
      <c r="A294" t="inlineStr">
        <is>
          <t>axle 9, left=B_ext</t>
        </is>
      </c>
      <c r="B294" s="13">
        <f>B_ext+half_B-$B$253</f>
        <v/>
      </c>
      <c r="C294" s="12">
        <f>SUMPRODUCT($E$245:$E$256*(((((($B294+$B$245:$B$256+half_B)+B_ext-ABS(($B294+$B$245:$B$256+half_B)-B_ext))/2)-((($B294+$B$245:$B$256-half_B)+ABS(($B294+$B$245:$B$256-half_B)))/2))+ABS((((($B294+$B$245:$B$256+half_B)+B_ext-ABS(($B294+$B$245:$B$256+half_B)-B_ext))/2)-((($B294+$B$245:$B$256-half_B)+ABS(($B294+$B$245:$B$256-half_B)))/2))))/2))/disp_B/disp_LL</f>
        <v/>
      </c>
    </row>
    <row r="295">
      <c r="A295" t="inlineStr">
        <is>
          <t>axle 10, right=0</t>
        </is>
      </c>
      <c r="B295" s="13">
        <f>-half_B-$B$254</f>
        <v/>
      </c>
      <c r="C295" s="12">
        <f>SUMPRODUCT($E$245:$E$256*(((((($B295+$B$245:$B$256+half_B)+B_ext-ABS(($B295+$B$245:$B$256+half_B)-B_ext))/2)-((($B295+$B$245:$B$256-half_B)+ABS(($B295+$B$245:$B$256-half_B)))/2))+ABS((((($B295+$B$245:$B$256+half_B)+B_ext-ABS(($B295+$B$245:$B$256+half_B)-B_ext))/2)-((($B295+$B$245:$B$256-half_B)+ABS(($B295+$B$245:$B$256-half_B)))/2))))/2))/disp_B/disp_LL</f>
        <v/>
      </c>
    </row>
    <row r="296">
      <c r="A296" t="inlineStr">
        <is>
          <t>axle 10, right=B_ext</t>
        </is>
      </c>
      <c r="B296" s="13">
        <f>B_ext-half_B-$B$254</f>
        <v/>
      </c>
      <c r="C296" s="12">
        <f>SUMPRODUCT($E$245:$E$256*(((((($B296+$B$245:$B$256+half_B)+B_ext-ABS(($B296+$B$245:$B$256+half_B)-B_ext))/2)-((($B296+$B$245:$B$256-half_B)+ABS(($B296+$B$245:$B$256-half_B)))/2))+ABS((((($B296+$B$245:$B$256+half_B)+B_ext-ABS(($B296+$B$245:$B$256+half_B)-B_ext))/2)-((($B296+$B$245:$B$256-half_B)+ABS(($B296+$B$245:$B$256-half_B)))/2))))/2))/disp_B/disp_LL</f>
        <v/>
      </c>
    </row>
    <row r="297">
      <c r="A297" t="inlineStr">
        <is>
          <t>axle 10, left=0</t>
        </is>
      </c>
      <c r="B297" s="13">
        <f>half_B-$B$254</f>
        <v/>
      </c>
      <c r="C297" s="12">
        <f>SUMPRODUCT($E$245:$E$256*(((((($B297+$B$245:$B$256+half_B)+B_ext-ABS(($B297+$B$245:$B$256+half_B)-B_ext))/2)-((($B297+$B$245:$B$256-half_B)+ABS(($B297+$B$245:$B$256-half_B)))/2))+ABS((((($B297+$B$245:$B$256+half_B)+B_ext-ABS(($B297+$B$245:$B$256+half_B)-B_ext))/2)-((($B297+$B$245:$B$256-half_B)+ABS(($B297+$B$245:$B$256-half_B)))/2))))/2))/disp_B/disp_LL</f>
        <v/>
      </c>
    </row>
    <row r="298">
      <c r="A298" t="inlineStr">
        <is>
          <t>axle 10, left=B_ext</t>
        </is>
      </c>
      <c r="B298" s="13">
        <f>B_ext+half_B-$B$254</f>
        <v/>
      </c>
      <c r="C298" s="12">
        <f>SUMPRODUCT($E$245:$E$256*(((((($B298+$B$245:$B$256+half_B)+B_ext-ABS(($B298+$B$245:$B$256+half_B)-B_ext))/2)-((($B298+$B$245:$B$256-half_B)+ABS(($B298+$B$245:$B$256-half_B)))/2))+ABS((((($B298+$B$245:$B$256+half_B)+B_ext-ABS(($B298+$B$245:$B$256+half_B)-B_ext))/2)-((($B298+$B$245:$B$256-half_B)+ABS(($B298+$B$245:$B$256-half_B)))/2))))/2))/disp_B/disp_LL</f>
        <v/>
      </c>
    </row>
    <row r="299">
      <c r="A299" t="inlineStr">
        <is>
          <t>axle 11, right=0</t>
        </is>
      </c>
      <c r="B299" s="13">
        <f>-half_B-$B$255</f>
        <v/>
      </c>
      <c r="C299" s="12">
        <f>SUMPRODUCT($E$245:$E$256*(((((($B299+$B$245:$B$256+half_B)+B_ext-ABS(($B299+$B$245:$B$256+half_B)-B_ext))/2)-((($B299+$B$245:$B$256-half_B)+ABS(($B299+$B$245:$B$256-half_B)))/2))+ABS((((($B299+$B$245:$B$256+half_B)+B_ext-ABS(($B299+$B$245:$B$256+half_B)-B_ext))/2)-((($B299+$B$245:$B$256-half_B)+ABS(($B299+$B$245:$B$256-half_B)))/2))))/2))/disp_B/disp_LL</f>
        <v/>
      </c>
    </row>
    <row r="300">
      <c r="A300" t="inlineStr">
        <is>
          <t>axle 11, right=B_ext</t>
        </is>
      </c>
      <c r="B300" s="13">
        <f>B_ext-half_B-$B$255</f>
        <v/>
      </c>
      <c r="C300" s="12">
        <f>SUMPRODUCT($E$245:$E$256*(((((($B300+$B$245:$B$256+half_B)+B_ext-ABS(($B300+$B$245:$B$256+half_B)-B_ext))/2)-((($B300+$B$245:$B$256-half_B)+ABS(($B300+$B$245:$B$256-half_B)))/2))+ABS((((($B300+$B$245:$B$256+half_B)+B_ext-ABS(($B300+$B$245:$B$256+half_B)-B_ext))/2)-((($B300+$B$245:$B$256-half_B)+ABS(($B300+$B$245:$B$256-half_B)))/2))))/2))/disp_B/disp_LL</f>
        <v/>
      </c>
    </row>
    <row r="301">
      <c r="A301" t="inlineStr">
        <is>
          <t>axle 11, left=0</t>
        </is>
      </c>
      <c r="B301" s="13">
        <f>half_B-$B$255</f>
        <v/>
      </c>
      <c r="C301" s="12">
        <f>SUMPRODUCT($E$245:$E$256*(((((($B301+$B$245:$B$256+half_B)+B_ext-ABS(($B301+$B$245:$B$256+half_B)-B_ext))/2)-((($B301+$B$245:$B$256-half_B)+ABS(($B301+$B$245:$B$256-half_B)))/2))+ABS((((($B301+$B$245:$B$256+half_B)+B_ext-ABS(($B301+$B$245:$B$256+half_B)-B_ext))/2)-((($B301+$B$245:$B$256-half_B)+ABS(($B301+$B$245:$B$256-half_B)))/2))))/2))/disp_B/disp_LL</f>
        <v/>
      </c>
    </row>
    <row r="302">
      <c r="A302" t="inlineStr">
        <is>
          <t>axle 11, left=B_ext</t>
        </is>
      </c>
      <c r="B302" s="13">
        <f>B_ext+half_B-$B$255</f>
        <v/>
      </c>
      <c r="C302" s="12">
        <f>SUMPRODUCT($E$245:$E$256*(((((($B302+$B$245:$B$256+half_B)+B_ext-ABS(($B302+$B$245:$B$256+half_B)-B_ext))/2)-((($B302+$B$245:$B$256-half_B)+ABS(($B302+$B$245:$B$256-half_B)))/2))+ABS((((($B302+$B$245:$B$256+half_B)+B_ext-ABS(($B302+$B$245:$B$256+half_B)-B_ext))/2)-((($B302+$B$245:$B$256-half_B)+ABS(($B302+$B$245:$B$256-half_B)))/2))))/2))/disp_B/disp_LL</f>
        <v/>
      </c>
    </row>
    <row r="303">
      <c r="A303" t="inlineStr">
        <is>
          <t>axle 12, right=0</t>
        </is>
      </c>
      <c r="B303" s="13">
        <f>-half_B-$B$256</f>
        <v/>
      </c>
      <c r="C303" s="12">
        <f>SUMPRODUCT($E$245:$E$256*(((((($B303+$B$245:$B$256+half_B)+B_ext-ABS(($B303+$B$245:$B$256+half_B)-B_ext))/2)-((($B303+$B$245:$B$256-half_B)+ABS(($B303+$B$245:$B$256-half_B)))/2))+ABS((((($B303+$B$245:$B$256+half_B)+B_ext-ABS(($B303+$B$245:$B$256+half_B)-B_ext))/2)-((($B303+$B$245:$B$256-half_B)+ABS(($B303+$B$245:$B$256-half_B)))/2))))/2))/disp_B/disp_LL</f>
        <v/>
      </c>
    </row>
    <row r="304">
      <c r="A304" t="inlineStr">
        <is>
          <t>axle 12, right=B_ext</t>
        </is>
      </c>
      <c r="B304" s="13">
        <f>B_ext-half_B-$B$256</f>
        <v/>
      </c>
      <c r="C304" s="12">
        <f>SUMPRODUCT($E$245:$E$256*(((((($B304+$B$245:$B$256+half_B)+B_ext-ABS(($B304+$B$245:$B$256+half_B)-B_ext))/2)-((($B304+$B$245:$B$256-half_B)+ABS(($B304+$B$245:$B$256-half_B)))/2))+ABS((((($B304+$B$245:$B$256+half_B)+B_ext-ABS(($B304+$B$245:$B$256+half_B)-B_ext))/2)-((($B304+$B$245:$B$256-half_B)+ABS(($B304+$B$245:$B$256-half_B)))/2))))/2))/disp_B/disp_LL</f>
        <v/>
      </c>
    </row>
    <row r="305">
      <c r="A305" t="inlineStr">
        <is>
          <t>axle 12, left=0</t>
        </is>
      </c>
      <c r="B305" s="13">
        <f>half_B-$B$256</f>
        <v/>
      </c>
      <c r="C305" s="12">
        <f>SUMPRODUCT($E$245:$E$256*(((((($B305+$B$245:$B$256+half_B)+B_ext-ABS(($B305+$B$245:$B$256+half_B)-B_ext))/2)-((($B305+$B$245:$B$256-half_B)+ABS(($B305+$B$245:$B$256-half_B)))/2))+ABS((((($B305+$B$245:$B$256+half_B)+B_ext-ABS(($B305+$B$245:$B$256+half_B)-B_ext))/2)-((($B305+$B$245:$B$256-half_B)+ABS(($B305+$B$245:$B$256-half_B)))/2))))/2))/disp_B/disp_LL</f>
        <v/>
      </c>
    </row>
    <row r="306">
      <c r="A306" t="inlineStr">
        <is>
          <t>axle 12, left=B_ext</t>
        </is>
      </c>
      <c r="B306" s="13">
        <f>B_ext+half_B-$B$256</f>
        <v/>
      </c>
      <c r="C306" s="12">
        <f>SUMPRODUCT($E$245:$E$256*(((((($B306+$B$245:$B$256+half_B)+B_ext-ABS(($B306+$B$245:$B$256+half_B)-B_ext))/2)-((($B306+$B$245:$B$256-half_B)+ABS(($B306+$B$245:$B$256-half_B)))/2))+ABS((((($B306+$B$245:$B$256+half_B)+B_ext-ABS(($B306+$B$245:$B$256+half_B)-B_ext))/2)-((($B306+$B$245:$B$256-half_B)+ABS(($B306+$B$245:$B$256-half_B)))/2))))/2))/disp_B/disp_LL</f>
        <v/>
      </c>
    </row>
    <row r="308">
      <c r="A308" t="inlineStr">
        <is>
          <t>SV196 block max, gap=1.2m (kN/m)</t>
        </is>
      </c>
      <c r="B308" s="12">
        <f>MAX(C259:C306)</f>
        <v/>
      </c>
    </row>
    <row r="310">
      <c r="A310" s="16" t="inlineStr">
        <is>
          <t>SV196 — inter-group gap = 5.0 m</t>
        </is>
      </c>
    </row>
    <row r="311">
      <c r="A311" s="7" t="inlineStr">
        <is>
          <t>Axle</t>
        </is>
      </c>
      <c r="B311" s="7" t="inlineStr">
        <is>
          <t>Position (m)</t>
        </is>
      </c>
      <c r="C311" s="7" t="inlineStr">
        <is>
          <t>Basic Load (kN)</t>
        </is>
      </c>
      <c r="D311" s="7" t="inlineStr">
        <is>
          <t>DAF</t>
        </is>
      </c>
      <c r="E311" s="7" t="inlineStr">
        <is>
          <t>Factored Load (kN)</t>
        </is>
      </c>
    </row>
    <row r="312">
      <c r="A312" t="n">
        <v>1</v>
      </c>
      <c r="B312" s="12" t="n">
        <v>0</v>
      </c>
      <c r="C312" s="11" t="n">
        <v>165</v>
      </c>
      <c r="D312" s="12" t="n">
        <v>1.12</v>
      </c>
      <c r="E312" s="12">
        <f>C312*D312</f>
        <v/>
      </c>
    </row>
    <row r="313">
      <c r="A313" t="n">
        <v>2</v>
      </c>
      <c r="B313" s="12" t="n">
        <v>1.2</v>
      </c>
      <c r="C313" s="11" t="n">
        <v>165</v>
      </c>
      <c r="D313" s="12" t="n">
        <v>1.12</v>
      </c>
      <c r="E313" s="12">
        <f>C313*D313</f>
        <v/>
      </c>
    </row>
    <row r="314">
      <c r="A314" t="n">
        <v>3</v>
      </c>
      <c r="B314" s="12" t="n">
        <v>2.4</v>
      </c>
      <c r="C314" s="11" t="n">
        <v>165</v>
      </c>
      <c r="D314" s="12" t="n">
        <v>1.12</v>
      </c>
      <c r="E314" s="12">
        <f>C314*D314</f>
        <v/>
      </c>
    </row>
    <row r="315">
      <c r="A315" t="n">
        <v>4</v>
      </c>
      <c r="B315" s="12" t="n">
        <v>3.6</v>
      </c>
      <c r="C315" s="11" t="n">
        <v>165</v>
      </c>
      <c r="D315" s="12" t="n">
        <v>1.12</v>
      </c>
      <c r="E315" s="12">
        <f>C315*D315</f>
        <v/>
      </c>
    </row>
    <row r="316">
      <c r="A316" t="n">
        <v>5</v>
      </c>
      <c r="B316" s="12" t="n">
        <v>4.8</v>
      </c>
      <c r="C316" s="11" t="n">
        <v>165</v>
      </c>
      <c r="D316" s="12" t="n">
        <v>1.12</v>
      </c>
      <c r="E316" s="12">
        <f>C316*D316</f>
        <v/>
      </c>
    </row>
    <row r="317">
      <c r="A317" t="n">
        <v>6</v>
      </c>
      <c r="B317" s="12" t="n">
        <v>9.800000000000001</v>
      </c>
      <c r="C317" s="11" t="n">
        <v>165</v>
      </c>
      <c r="D317" s="12" t="n">
        <v>1.12</v>
      </c>
      <c r="E317" s="12">
        <f>C317*D317</f>
        <v/>
      </c>
    </row>
    <row r="318">
      <c r="A318" t="n">
        <v>7</v>
      </c>
      <c r="B318" s="12" t="n">
        <v>11</v>
      </c>
      <c r="C318" s="11" t="n">
        <v>165</v>
      </c>
      <c r="D318" s="12" t="n">
        <v>1.12</v>
      </c>
      <c r="E318" s="12">
        <f>C318*D318</f>
        <v/>
      </c>
    </row>
    <row r="319">
      <c r="A319" t="n">
        <v>8</v>
      </c>
      <c r="B319" s="12" t="n">
        <v>12.2</v>
      </c>
      <c r="C319" s="11" t="n">
        <v>165</v>
      </c>
      <c r="D319" s="12" t="n">
        <v>1.12</v>
      </c>
      <c r="E319" s="12">
        <f>C319*D319</f>
        <v/>
      </c>
    </row>
    <row r="320">
      <c r="A320" t="n">
        <v>9</v>
      </c>
      <c r="B320" s="12" t="n">
        <v>13.4</v>
      </c>
      <c r="C320" s="11" t="n">
        <v>165</v>
      </c>
      <c r="D320" s="12" t="n">
        <v>1.12</v>
      </c>
      <c r="E320" s="12">
        <f>C320*D320</f>
        <v/>
      </c>
    </row>
    <row r="321">
      <c r="A321" t="n">
        <v>10</v>
      </c>
      <c r="B321" s="12" t="n">
        <v>17.4</v>
      </c>
      <c r="C321" s="11" t="n">
        <v>180</v>
      </c>
      <c r="D321" s="12" t="n">
        <v>1.1</v>
      </c>
      <c r="E321" s="12">
        <f>C321*D321</f>
        <v/>
      </c>
    </row>
    <row r="322">
      <c r="A322" t="n">
        <v>11</v>
      </c>
      <c r="B322" s="12" t="n">
        <v>19</v>
      </c>
      <c r="C322" s="11" t="n">
        <v>180</v>
      </c>
      <c r="D322" s="12" t="n">
        <v>1.1</v>
      </c>
      <c r="E322" s="12">
        <f>C322*D322</f>
        <v/>
      </c>
    </row>
    <row r="323">
      <c r="A323" t="n">
        <v>12</v>
      </c>
      <c r="B323" s="12" t="n">
        <v>23.4</v>
      </c>
      <c r="C323" s="11" t="n">
        <v>100</v>
      </c>
      <c r="D323" s="12" t="n">
        <v>1.2</v>
      </c>
      <c r="E323" s="12">
        <f>C323*D323</f>
        <v/>
      </c>
    </row>
    <row r="325">
      <c r="A325" s="7" t="inlineStr">
        <is>
          <t>Breakpoint candidate offset</t>
        </is>
      </c>
      <c r="B325" s="7" t="inlineStr">
        <is>
          <t>Offset (m)</t>
        </is>
      </c>
      <c r="C325" s="7" t="inlineStr">
        <is>
          <t>Total landed load at this offset (kN/m)</t>
        </is>
      </c>
    </row>
    <row r="326">
      <c r="A326" t="inlineStr">
        <is>
          <t>axle 1, right=0</t>
        </is>
      </c>
      <c r="B326" s="13">
        <f>-half_B-$B$312</f>
        <v/>
      </c>
      <c r="C326" s="12">
        <f>SUMPRODUCT($E$312:$E$323*(((((($B326+$B$312:$B$323+half_B)+B_ext-ABS(($B326+$B$312:$B$323+half_B)-B_ext))/2)-((($B326+$B$312:$B$323-half_B)+ABS(($B326+$B$312:$B$323-half_B)))/2))+ABS((((($B326+$B$312:$B$323+half_B)+B_ext-ABS(($B326+$B$312:$B$323+half_B)-B_ext))/2)-((($B326+$B$312:$B$323-half_B)+ABS(($B326+$B$312:$B$323-half_B)))/2))))/2))/disp_B/disp_LL</f>
        <v/>
      </c>
    </row>
    <row r="327">
      <c r="A327" t="inlineStr">
        <is>
          <t>axle 1, right=B_ext</t>
        </is>
      </c>
      <c r="B327" s="13">
        <f>B_ext-half_B-$B$312</f>
        <v/>
      </c>
      <c r="C327" s="12">
        <f>SUMPRODUCT($E$312:$E$323*(((((($B327+$B$312:$B$323+half_B)+B_ext-ABS(($B327+$B$312:$B$323+half_B)-B_ext))/2)-((($B327+$B$312:$B$323-half_B)+ABS(($B327+$B$312:$B$323-half_B)))/2))+ABS((((($B327+$B$312:$B$323+half_B)+B_ext-ABS(($B327+$B$312:$B$323+half_B)-B_ext))/2)-((($B327+$B$312:$B$323-half_B)+ABS(($B327+$B$312:$B$323-half_B)))/2))))/2))/disp_B/disp_LL</f>
        <v/>
      </c>
    </row>
    <row r="328">
      <c r="A328" t="inlineStr">
        <is>
          <t>axle 1, left=0</t>
        </is>
      </c>
      <c r="B328" s="13">
        <f>half_B-$B$312</f>
        <v/>
      </c>
      <c r="C328" s="12">
        <f>SUMPRODUCT($E$312:$E$323*(((((($B328+$B$312:$B$323+half_B)+B_ext-ABS(($B328+$B$312:$B$323+half_B)-B_ext))/2)-((($B328+$B$312:$B$323-half_B)+ABS(($B328+$B$312:$B$323-half_B)))/2))+ABS((((($B328+$B$312:$B$323+half_B)+B_ext-ABS(($B328+$B$312:$B$323+half_B)-B_ext))/2)-((($B328+$B$312:$B$323-half_B)+ABS(($B328+$B$312:$B$323-half_B)))/2))))/2))/disp_B/disp_LL</f>
        <v/>
      </c>
    </row>
    <row r="329">
      <c r="A329" t="inlineStr">
        <is>
          <t>axle 1, left=B_ext</t>
        </is>
      </c>
      <c r="B329" s="13">
        <f>B_ext+half_B-$B$312</f>
        <v/>
      </c>
      <c r="C329" s="12">
        <f>SUMPRODUCT($E$312:$E$323*(((((($B329+$B$312:$B$323+half_B)+B_ext-ABS(($B329+$B$312:$B$323+half_B)-B_ext))/2)-((($B329+$B$312:$B$323-half_B)+ABS(($B329+$B$312:$B$323-half_B)))/2))+ABS((((($B329+$B$312:$B$323+half_B)+B_ext-ABS(($B329+$B$312:$B$323+half_B)-B_ext))/2)-((($B329+$B$312:$B$323-half_B)+ABS(($B329+$B$312:$B$323-half_B)))/2))))/2))/disp_B/disp_LL</f>
        <v/>
      </c>
    </row>
    <row r="330">
      <c r="A330" t="inlineStr">
        <is>
          <t>axle 2, right=0</t>
        </is>
      </c>
      <c r="B330" s="13">
        <f>-half_B-$B$313</f>
        <v/>
      </c>
      <c r="C330" s="12">
        <f>SUMPRODUCT($E$312:$E$323*(((((($B330+$B$312:$B$323+half_B)+B_ext-ABS(($B330+$B$312:$B$323+half_B)-B_ext))/2)-((($B330+$B$312:$B$323-half_B)+ABS(($B330+$B$312:$B$323-half_B)))/2))+ABS((((($B330+$B$312:$B$323+half_B)+B_ext-ABS(($B330+$B$312:$B$323+half_B)-B_ext))/2)-((($B330+$B$312:$B$323-half_B)+ABS(($B330+$B$312:$B$323-half_B)))/2))))/2))/disp_B/disp_LL</f>
        <v/>
      </c>
    </row>
    <row r="331">
      <c r="A331" t="inlineStr">
        <is>
          <t>axle 2, right=B_ext</t>
        </is>
      </c>
      <c r="B331" s="13">
        <f>B_ext-half_B-$B$313</f>
        <v/>
      </c>
      <c r="C331" s="12">
        <f>SUMPRODUCT($E$312:$E$323*(((((($B331+$B$312:$B$323+half_B)+B_ext-ABS(($B331+$B$312:$B$323+half_B)-B_ext))/2)-((($B331+$B$312:$B$323-half_B)+ABS(($B331+$B$312:$B$323-half_B)))/2))+ABS((((($B331+$B$312:$B$323+half_B)+B_ext-ABS(($B331+$B$312:$B$323+half_B)-B_ext))/2)-((($B331+$B$312:$B$323-half_B)+ABS(($B331+$B$312:$B$323-half_B)))/2))))/2))/disp_B/disp_LL</f>
        <v/>
      </c>
    </row>
    <row r="332">
      <c r="A332" t="inlineStr">
        <is>
          <t>axle 2, left=0</t>
        </is>
      </c>
      <c r="B332" s="13">
        <f>half_B-$B$313</f>
        <v/>
      </c>
      <c r="C332" s="12">
        <f>SUMPRODUCT($E$312:$E$323*(((((($B332+$B$312:$B$323+half_B)+B_ext-ABS(($B332+$B$312:$B$323+half_B)-B_ext))/2)-((($B332+$B$312:$B$323-half_B)+ABS(($B332+$B$312:$B$323-half_B)))/2))+ABS((((($B332+$B$312:$B$323+half_B)+B_ext-ABS(($B332+$B$312:$B$323+half_B)-B_ext))/2)-((($B332+$B$312:$B$323-half_B)+ABS(($B332+$B$312:$B$323-half_B)))/2))))/2))/disp_B/disp_LL</f>
        <v/>
      </c>
    </row>
    <row r="333">
      <c r="A333" t="inlineStr">
        <is>
          <t>axle 2, left=B_ext</t>
        </is>
      </c>
      <c r="B333" s="13">
        <f>B_ext+half_B-$B$313</f>
        <v/>
      </c>
      <c r="C333" s="12">
        <f>SUMPRODUCT($E$312:$E$323*(((((($B333+$B$312:$B$323+half_B)+B_ext-ABS(($B333+$B$312:$B$323+half_B)-B_ext))/2)-((($B333+$B$312:$B$323-half_B)+ABS(($B333+$B$312:$B$323-half_B)))/2))+ABS((((($B333+$B$312:$B$323+half_B)+B_ext-ABS(($B333+$B$312:$B$323+half_B)-B_ext))/2)-((($B333+$B$312:$B$323-half_B)+ABS(($B333+$B$312:$B$323-half_B)))/2))))/2))/disp_B/disp_LL</f>
        <v/>
      </c>
    </row>
    <row r="334">
      <c r="A334" t="inlineStr">
        <is>
          <t>axle 3, right=0</t>
        </is>
      </c>
      <c r="B334" s="13">
        <f>-half_B-$B$314</f>
        <v/>
      </c>
      <c r="C334" s="12">
        <f>SUMPRODUCT($E$312:$E$323*(((((($B334+$B$312:$B$323+half_B)+B_ext-ABS(($B334+$B$312:$B$323+half_B)-B_ext))/2)-((($B334+$B$312:$B$323-half_B)+ABS(($B334+$B$312:$B$323-half_B)))/2))+ABS((((($B334+$B$312:$B$323+half_B)+B_ext-ABS(($B334+$B$312:$B$323+half_B)-B_ext))/2)-((($B334+$B$312:$B$323-half_B)+ABS(($B334+$B$312:$B$323-half_B)))/2))))/2))/disp_B/disp_LL</f>
        <v/>
      </c>
    </row>
    <row r="335">
      <c r="A335" t="inlineStr">
        <is>
          <t>axle 3, right=B_ext</t>
        </is>
      </c>
      <c r="B335" s="13">
        <f>B_ext-half_B-$B$314</f>
        <v/>
      </c>
      <c r="C335" s="12">
        <f>SUMPRODUCT($E$312:$E$323*(((((($B335+$B$312:$B$323+half_B)+B_ext-ABS(($B335+$B$312:$B$323+half_B)-B_ext))/2)-((($B335+$B$312:$B$323-half_B)+ABS(($B335+$B$312:$B$323-half_B)))/2))+ABS((((($B335+$B$312:$B$323+half_B)+B_ext-ABS(($B335+$B$312:$B$323+half_B)-B_ext))/2)-((($B335+$B$312:$B$323-half_B)+ABS(($B335+$B$312:$B$323-half_B)))/2))))/2))/disp_B/disp_LL</f>
        <v/>
      </c>
    </row>
    <row r="336">
      <c r="A336" t="inlineStr">
        <is>
          <t>axle 3, left=0</t>
        </is>
      </c>
      <c r="B336" s="13">
        <f>half_B-$B$314</f>
        <v/>
      </c>
      <c r="C336" s="12">
        <f>SUMPRODUCT($E$312:$E$323*(((((($B336+$B$312:$B$323+half_B)+B_ext-ABS(($B336+$B$312:$B$323+half_B)-B_ext))/2)-((($B336+$B$312:$B$323-half_B)+ABS(($B336+$B$312:$B$323-half_B)))/2))+ABS((((($B336+$B$312:$B$323+half_B)+B_ext-ABS(($B336+$B$312:$B$323+half_B)-B_ext))/2)-((($B336+$B$312:$B$323-half_B)+ABS(($B336+$B$312:$B$323-half_B)))/2))))/2))/disp_B/disp_LL</f>
        <v/>
      </c>
    </row>
    <row r="337">
      <c r="A337" t="inlineStr">
        <is>
          <t>axle 3, left=B_ext</t>
        </is>
      </c>
      <c r="B337" s="13">
        <f>B_ext+half_B-$B$314</f>
        <v/>
      </c>
      <c r="C337" s="12">
        <f>SUMPRODUCT($E$312:$E$323*(((((($B337+$B$312:$B$323+half_B)+B_ext-ABS(($B337+$B$312:$B$323+half_B)-B_ext))/2)-((($B337+$B$312:$B$323-half_B)+ABS(($B337+$B$312:$B$323-half_B)))/2))+ABS((((($B337+$B$312:$B$323+half_B)+B_ext-ABS(($B337+$B$312:$B$323+half_B)-B_ext))/2)-((($B337+$B$312:$B$323-half_B)+ABS(($B337+$B$312:$B$323-half_B)))/2))))/2))/disp_B/disp_LL</f>
        <v/>
      </c>
    </row>
    <row r="338">
      <c r="A338" t="inlineStr">
        <is>
          <t>axle 4, right=0</t>
        </is>
      </c>
      <c r="B338" s="13">
        <f>-half_B-$B$315</f>
        <v/>
      </c>
      <c r="C338" s="12">
        <f>SUMPRODUCT($E$312:$E$323*(((((($B338+$B$312:$B$323+half_B)+B_ext-ABS(($B338+$B$312:$B$323+half_B)-B_ext))/2)-((($B338+$B$312:$B$323-half_B)+ABS(($B338+$B$312:$B$323-half_B)))/2))+ABS((((($B338+$B$312:$B$323+half_B)+B_ext-ABS(($B338+$B$312:$B$323+half_B)-B_ext))/2)-((($B338+$B$312:$B$323-half_B)+ABS(($B338+$B$312:$B$323-half_B)))/2))))/2))/disp_B/disp_LL</f>
        <v/>
      </c>
    </row>
    <row r="339">
      <c r="A339" t="inlineStr">
        <is>
          <t>axle 4, right=B_ext</t>
        </is>
      </c>
      <c r="B339" s="13">
        <f>B_ext-half_B-$B$315</f>
        <v/>
      </c>
      <c r="C339" s="12">
        <f>SUMPRODUCT($E$312:$E$323*(((((($B339+$B$312:$B$323+half_B)+B_ext-ABS(($B339+$B$312:$B$323+half_B)-B_ext))/2)-((($B339+$B$312:$B$323-half_B)+ABS(($B339+$B$312:$B$323-half_B)))/2))+ABS((((($B339+$B$312:$B$323+half_B)+B_ext-ABS(($B339+$B$312:$B$323+half_B)-B_ext))/2)-((($B339+$B$312:$B$323-half_B)+ABS(($B339+$B$312:$B$323-half_B)))/2))))/2))/disp_B/disp_LL</f>
        <v/>
      </c>
    </row>
    <row r="340">
      <c r="A340" t="inlineStr">
        <is>
          <t>axle 4, left=0</t>
        </is>
      </c>
      <c r="B340" s="13">
        <f>half_B-$B$315</f>
        <v/>
      </c>
      <c r="C340" s="12">
        <f>SUMPRODUCT($E$312:$E$323*(((((($B340+$B$312:$B$323+half_B)+B_ext-ABS(($B340+$B$312:$B$323+half_B)-B_ext))/2)-((($B340+$B$312:$B$323-half_B)+ABS(($B340+$B$312:$B$323-half_B)))/2))+ABS((((($B340+$B$312:$B$323+half_B)+B_ext-ABS(($B340+$B$312:$B$323+half_B)-B_ext))/2)-((($B340+$B$312:$B$323-half_B)+ABS(($B340+$B$312:$B$323-half_B)))/2))))/2))/disp_B/disp_LL</f>
        <v/>
      </c>
    </row>
    <row r="341">
      <c r="A341" t="inlineStr">
        <is>
          <t>axle 4, left=B_ext</t>
        </is>
      </c>
      <c r="B341" s="13">
        <f>B_ext+half_B-$B$315</f>
        <v/>
      </c>
      <c r="C341" s="12">
        <f>SUMPRODUCT($E$312:$E$323*(((((($B341+$B$312:$B$323+half_B)+B_ext-ABS(($B341+$B$312:$B$323+half_B)-B_ext))/2)-((($B341+$B$312:$B$323-half_B)+ABS(($B341+$B$312:$B$323-half_B)))/2))+ABS((((($B341+$B$312:$B$323+half_B)+B_ext-ABS(($B341+$B$312:$B$323+half_B)-B_ext))/2)-((($B341+$B$312:$B$323-half_B)+ABS(($B341+$B$312:$B$323-half_B)))/2))))/2))/disp_B/disp_LL</f>
        <v/>
      </c>
    </row>
    <row r="342">
      <c r="A342" t="inlineStr">
        <is>
          <t>axle 5, right=0</t>
        </is>
      </c>
      <c r="B342" s="13">
        <f>-half_B-$B$316</f>
        <v/>
      </c>
      <c r="C342" s="12">
        <f>SUMPRODUCT($E$312:$E$323*(((((($B342+$B$312:$B$323+half_B)+B_ext-ABS(($B342+$B$312:$B$323+half_B)-B_ext))/2)-((($B342+$B$312:$B$323-half_B)+ABS(($B342+$B$312:$B$323-half_B)))/2))+ABS((((($B342+$B$312:$B$323+half_B)+B_ext-ABS(($B342+$B$312:$B$323+half_B)-B_ext))/2)-((($B342+$B$312:$B$323-half_B)+ABS(($B342+$B$312:$B$323-half_B)))/2))))/2))/disp_B/disp_LL</f>
        <v/>
      </c>
    </row>
    <row r="343">
      <c r="A343" t="inlineStr">
        <is>
          <t>axle 5, right=B_ext</t>
        </is>
      </c>
      <c r="B343" s="13">
        <f>B_ext-half_B-$B$316</f>
        <v/>
      </c>
      <c r="C343" s="12">
        <f>SUMPRODUCT($E$312:$E$323*(((((($B343+$B$312:$B$323+half_B)+B_ext-ABS(($B343+$B$312:$B$323+half_B)-B_ext))/2)-((($B343+$B$312:$B$323-half_B)+ABS(($B343+$B$312:$B$323-half_B)))/2))+ABS((((($B343+$B$312:$B$323+half_B)+B_ext-ABS(($B343+$B$312:$B$323+half_B)-B_ext))/2)-((($B343+$B$312:$B$323-half_B)+ABS(($B343+$B$312:$B$323-half_B)))/2))))/2))/disp_B/disp_LL</f>
        <v/>
      </c>
    </row>
    <row r="344">
      <c r="A344" t="inlineStr">
        <is>
          <t>axle 5, left=0</t>
        </is>
      </c>
      <c r="B344" s="13">
        <f>half_B-$B$316</f>
        <v/>
      </c>
      <c r="C344" s="12">
        <f>SUMPRODUCT($E$312:$E$323*(((((($B344+$B$312:$B$323+half_B)+B_ext-ABS(($B344+$B$312:$B$323+half_B)-B_ext))/2)-((($B344+$B$312:$B$323-half_B)+ABS(($B344+$B$312:$B$323-half_B)))/2))+ABS((((($B344+$B$312:$B$323+half_B)+B_ext-ABS(($B344+$B$312:$B$323+half_B)-B_ext))/2)-((($B344+$B$312:$B$323-half_B)+ABS(($B344+$B$312:$B$323-half_B)))/2))))/2))/disp_B/disp_LL</f>
        <v/>
      </c>
    </row>
    <row r="345">
      <c r="A345" t="inlineStr">
        <is>
          <t>axle 5, left=B_ext</t>
        </is>
      </c>
      <c r="B345" s="13">
        <f>B_ext+half_B-$B$316</f>
        <v/>
      </c>
      <c r="C345" s="12">
        <f>SUMPRODUCT($E$312:$E$323*(((((($B345+$B$312:$B$323+half_B)+B_ext-ABS(($B345+$B$312:$B$323+half_B)-B_ext))/2)-((($B345+$B$312:$B$323-half_B)+ABS(($B345+$B$312:$B$323-half_B)))/2))+ABS((((($B345+$B$312:$B$323+half_B)+B_ext-ABS(($B345+$B$312:$B$323+half_B)-B_ext))/2)-((($B345+$B$312:$B$323-half_B)+ABS(($B345+$B$312:$B$323-half_B)))/2))))/2))/disp_B/disp_LL</f>
        <v/>
      </c>
    </row>
    <row r="346">
      <c r="A346" t="inlineStr">
        <is>
          <t>axle 6, right=0</t>
        </is>
      </c>
      <c r="B346" s="13">
        <f>-half_B-$B$317</f>
        <v/>
      </c>
      <c r="C346" s="12">
        <f>SUMPRODUCT($E$312:$E$323*(((((($B346+$B$312:$B$323+half_B)+B_ext-ABS(($B346+$B$312:$B$323+half_B)-B_ext))/2)-((($B346+$B$312:$B$323-half_B)+ABS(($B346+$B$312:$B$323-half_B)))/2))+ABS((((($B346+$B$312:$B$323+half_B)+B_ext-ABS(($B346+$B$312:$B$323+half_B)-B_ext))/2)-((($B346+$B$312:$B$323-half_B)+ABS(($B346+$B$312:$B$323-half_B)))/2))))/2))/disp_B/disp_LL</f>
        <v/>
      </c>
    </row>
    <row r="347">
      <c r="A347" t="inlineStr">
        <is>
          <t>axle 6, right=B_ext</t>
        </is>
      </c>
      <c r="B347" s="13">
        <f>B_ext-half_B-$B$317</f>
        <v/>
      </c>
      <c r="C347" s="12">
        <f>SUMPRODUCT($E$312:$E$323*(((((($B347+$B$312:$B$323+half_B)+B_ext-ABS(($B347+$B$312:$B$323+half_B)-B_ext))/2)-((($B347+$B$312:$B$323-half_B)+ABS(($B347+$B$312:$B$323-half_B)))/2))+ABS((((($B347+$B$312:$B$323+half_B)+B_ext-ABS(($B347+$B$312:$B$323+half_B)-B_ext))/2)-((($B347+$B$312:$B$323-half_B)+ABS(($B347+$B$312:$B$323-half_B)))/2))))/2))/disp_B/disp_LL</f>
        <v/>
      </c>
    </row>
    <row r="348">
      <c r="A348" t="inlineStr">
        <is>
          <t>axle 6, left=0</t>
        </is>
      </c>
      <c r="B348" s="13">
        <f>half_B-$B$317</f>
        <v/>
      </c>
      <c r="C348" s="12">
        <f>SUMPRODUCT($E$312:$E$323*(((((($B348+$B$312:$B$323+half_B)+B_ext-ABS(($B348+$B$312:$B$323+half_B)-B_ext))/2)-((($B348+$B$312:$B$323-half_B)+ABS(($B348+$B$312:$B$323-half_B)))/2))+ABS((((($B348+$B$312:$B$323+half_B)+B_ext-ABS(($B348+$B$312:$B$323+half_B)-B_ext))/2)-((($B348+$B$312:$B$323-half_B)+ABS(($B348+$B$312:$B$323-half_B)))/2))))/2))/disp_B/disp_LL</f>
        <v/>
      </c>
    </row>
    <row r="349">
      <c r="A349" t="inlineStr">
        <is>
          <t>axle 6, left=B_ext</t>
        </is>
      </c>
      <c r="B349" s="13">
        <f>B_ext+half_B-$B$317</f>
        <v/>
      </c>
      <c r="C349" s="12">
        <f>SUMPRODUCT($E$312:$E$323*(((((($B349+$B$312:$B$323+half_B)+B_ext-ABS(($B349+$B$312:$B$323+half_B)-B_ext))/2)-((($B349+$B$312:$B$323-half_B)+ABS(($B349+$B$312:$B$323-half_B)))/2))+ABS((((($B349+$B$312:$B$323+half_B)+B_ext-ABS(($B349+$B$312:$B$323+half_B)-B_ext))/2)-((($B349+$B$312:$B$323-half_B)+ABS(($B349+$B$312:$B$323-half_B)))/2))))/2))/disp_B/disp_LL</f>
        <v/>
      </c>
    </row>
    <row r="350">
      <c r="A350" t="inlineStr">
        <is>
          <t>axle 7, right=0</t>
        </is>
      </c>
      <c r="B350" s="13">
        <f>-half_B-$B$318</f>
        <v/>
      </c>
      <c r="C350" s="12">
        <f>SUMPRODUCT($E$312:$E$323*(((((($B350+$B$312:$B$323+half_B)+B_ext-ABS(($B350+$B$312:$B$323+half_B)-B_ext))/2)-((($B350+$B$312:$B$323-half_B)+ABS(($B350+$B$312:$B$323-half_B)))/2))+ABS((((($B350+$B$312:$B$323+half_B)+B_ext-ABS(($B350+$B$312:$B$323+half_B)-B_ext))/2)-((($B350+$B$312:$B$323-half_B)+ABS(($B350+$B$312:$B$323-half_B)))/2))))/2))/disp_B/disp_LL</f>
        <v/>
      </c>
    </row>
    <row r="351">
      <c r="A351" t="inlineStr">
        <is>
          <t>axle 7, right=B_ext</t>
        </is>
      </c>
      <c r="B351" s="13">
        <f>B_ext-half_B-$B$318</f>
        <v/>
      </c>
      <c r="C351" s="12">
        <f>SUMPRODUCT($E$312:$E$323*(((((($B351+$B$312:$B$323+half_B)+B_ext-ABS(($B351+$B$312:$B$323+half_B)-B_ext))/2)-((($B351+$B$312:$B$323-half_B)+ABS(($B351+$B$312:$B$323-half_B)))/2))+ABS((((($B351+$B$312:$B$323+half_B)+B_ext-ABS(($B351+$B$312:$B$323+half_B)-B_ext))/2)-((($B351+$B$312:$B$323-half_B)+ABS(($B351+$B$312:$B$323-half_B)))/2))))/2))/disp_B/disp_LL</f>
        <v/>
      </c>
    </row>
    <row r="352">
      <c r="A352" t="inlineStr">
        <is>
          <t>axle 7, left=0</t>
        </is>
      </c>
      <c r="B352" s="13">
        <f>half_B-$B$318</f>
        <v/>
      </c>
      <c r="C352" s="12">
        <f>SUMPRODUCT($E$312:$E$323*(((((($B352+$B$312:$B$323+half_B)+B_ext-ABS(($B352+$B$312:$B$323+half_B)-B_ext))/2)-((($B352+$B$312:$B$323-half_B)+ABS(($B352+$B$312:$B$323-half_B)))/2))+ABS((((($B352+$B$312:$B$323+half_B)+B_ext-ABS(($B352+$B$312:$B$323+half_B)-B_ext))/2)-((($B352+$B$312:$B$323-half_B)+ABS(($B352+$B$312:$B$323-half_B)))/2))))/2))/disp_B/disp_LL</f>
        <v/>
      </c>
    </row>
    <row r="353">
      <c r="A353" t="inlineStr">
        <is>
          <t>axle 7, left=B_ext</t>
        </is>
      </c>
      <c r="B353" s="13">
        <f>B_ext+half_B-$B$318</f>
        <v/>
      </c>
      <c r="C353" s="12">
        <f>SUMPRODUCT($E$312:$E$323*(((((($B353+$B$312:$B$323+half_B)+B_ext-ABS(($B353+$B$312:$B$323+half_B)-B_ext))/2)-((($B353+$B$312:$B$323-half_B)+ABS(($B353+$B$312:$B$323-half_B)))/2))+ABS((((($B353+$B$312:$B$323+half_B)+B_ext-ABS(($B353+$B$312:$B$323+half_B)-B_ext))/2)-((($B353+$B$312:$B$323-half_B)+ABS(($B353+$B$312:$B$323-half_B)))/2))))/2))/disp_B/disp_LL</f>
        <v/>
      </c>
    </row>
    <row r="354">
      <c r="A354" t="inlineStr">
        <is>
          <t>axle 8, right=0</t>
        </is>
      </c>
      <c r="B354" s="13">
        <f>-half_B-$B$319</f>
        <v/>
      </c>
      <c r="C354" s="12">
        <f>SUMPRODUCT($E$312:$E$323*(((((($B354+$B$312:$B$323+half_B)+B_ext-ABS(($B354+$B$312:$B$323+half_B)-B_ext))/2)-((($B354+$B$312:$B$323-half_B)+ABS(($B354+$B$312:$B$323-half_B)))/2))+ABS((((($B354+$B$312:$B$323+half_B)+B_ext-ABS(($B354+$B$312:$B$323+half_B)-B_ext))/2)-((($B354+$B$312:$B$323-half_B)+ABS(($B354+$B$312:$B$323-half_B)))/2))))/2))/disp_B/disp_LL</f>
        <v/>
      </c>
    </row>
    <row r="355">
      <c r="A355" t="inlineStr">
        <is>
          <t>axle 8, right=B_ext</t>
        </is>
      </c>
      <c r="B355" s="13">
        <f>B_ext-half_B-$B$319</f>
        <v/>
      </c>
      <c r="C355" s="12">
        <f>SUMPRODUCT($E$312:$E$323*(((((($B355+$B$312:$B$323+half_B)+B_ext-ABS(($B355+$B$312:$B$323+half_B)-B_ext))/2)-((($B355+$B$312:$B$323-half_B)+ABS(($B355+$B$312:$B$323-half_B)))/2))+ABS((((($B355+$B$312:$B$323+half_B)+B_ext-ABS(($B355+$B$312:$B$323+half_B)-B_ext))/2)-((($B355+$B$312:$B$323-half_B)+ABS(($B355+$B$312:$B$323-half_B)))/2))))/2))/disp_B/disp_LL</f>
        <v/>
      </c>
    </row>
    <row r="356">
      <c r="A356" t="inlineStr">
        <is>
          <t>axle 8, left=0</t>
        </is>
      </c>
      <c r="B356" s="13">
        <f>half_B-$B$319</f>
        <v/>
      </c>
      <c r="C356" s="12">
        <f>SUMPRODUCT($E$312:$E$323*(((((($B356+$B$312:$B$323+half_B)+B_ext-ABS(($B356+$B$312:$B$323+half_B)-B_ext))/2)-((($B356+$B$312:$B$323-half_B)+ABS(($B356+$B$312:$B$323-half_B)))/2))+ABS((((($B356+$B$312:$B$323+half_B)+B_ext-ABS(($B356+$B$312:$B$323+half_B)-B_ext))/2)-((($B356+$B$312:$B$323-half_B)+ABS(($B356+$B$312:$B$323-half_B)))/2))))/2))/disp_B/disp_LL</f>
        <v/>
      </c>
    </row>
    <row r="357">
      <c r="A357" t="inlineStr">
        <is>
          <t>axle 8, left=B_ext</t>
        </is>
      </c>
      <c r="B357" s="13">
        <f>B_ext+half_B-$B$319</f>
        <v/>
      </c>
      <c r="C357" s="12">
        <f>SUMPRODUCT($E$312:$E$323*(((((($B357+$B$312:$B$323+half_B)+B_ext-ABS(($B357+$B$312:$B$323+half_B)-B_ext))/2)-((($B357+$B$312:$B$323-half_B)+ABS(($B357+$B$312:$B$323-half_B)))/2))+ABS((((($B357+$B$312:$B$323+half_B)+B_ext-ABS(($B357+$B$312:$B$323+half_B)-B_ext))/2)-((($B357+$B$312:$B$323-half_B)+ABS(($B357+$B$312:$B$323-half_B)))/2))))/2))/disp_B/disp_LL</f>
        <v/>
      </c>
    </row>
    <row r="358">
      <c r="A358" t="inlineStr">
        <is>
          <t>axle 9, right=0</t>
        </is>
      </c>
      <c r="B358" s="13">
        <f>-half_B-$B$320</f>
        <v/>
      </c>
      <c r="C358" s="12">
        <f>SUMPRODUCT($E$312:$E$323*(((((($B358+$B$312:$B$323+half_B)+B_ext-ABS(($B358+$B$312:$B$323+half_B)-B_ext))/2)-((($B358+$B$312:$B$323-half_B)+ABS(($B358+$B$312:$B$323-half_B)))/2))+ABS((((($B358+$B$312:$B$323+half_B)+B_ext-ABS(($B358+$B$312:$B$323+half_B)-B_ext))/2)-((($B358+$B$312:$B$323-half_B)+ABS(($B358+$B$312:$B$323-half_B)))/2))))/2))/disp_B/disp_LL</f>
        <v/>
      </c>
    </row>
    <row r="359">
      <c r="A359" t="inlineStr">
        <is>
          <t>axle 9, right=B_ext</t>
        </is>
      </c>
      <c r="B359" s="13">
        <f>B_ext-half_B-$B$320</f>
        <v/>
      </c>
      <c r="C359" s="12">
        <f>SUMPRODUCT($E$312:$E$323*(((((($B359+$B$312:$B$323+half_B)+B_ext-ABS(($B359+$B$312:$B$323+half_B)-B_ext))/2)-((($B359+$B$312:$B$323-half_B)+ABS(($B359+$B$312:$B$323-half_B)))/2))+ABS((((($B359+$B$312:$B$323+half_B)+B_ext-ABS(($B359+$B$312:$B$323+half_B)-B_ext))/2)-((($B359+$B$312:$B$323-half_B)+ABS(($B359+$B$312:$B$323-half_B)))/2))))/2))/disp_B/disp_LL</f>
        <v/>
      </c>
    </row>
    <row r="360">
      <c r="A360" t="inlineStr">
        <is>
          <t>axle 9, left=0</t>
        </is>
      </c>
      <c r="B360" s="13">
        <f>half_B-$B$320</f>
        <v/>
      </c>
      <c r="C360" s="12">
        <f>SUMPRODUCT($E$312:$E$323*(((((($B360+$B$312:$B$323+half_B)+B_ext-ABS(($B360+$B$312:$B$323+half_B)-B_ext))/2)-((($B360+$B$312:$B$323-half_B)+ABS(($B360+$B$312:$B$323-half_B)))/2))+ABS((((($B360+$B$312:$B$323+half_B)+B_ext-ABS(($B360+$B$312:$B$323+half_B)-B_ext))/2)-((($B360+$B$312:$B$323-half_B)+ABS(($B360+$B$312:$B$323-half_B)))/2))))/2))/disp_B/disp_LL</f>
        <v/>
      </c>
    </row>
    <row r="361">
      <c r="A361" t="inlineStr">
        <is>
          <t>axle 9, left=B_ext</t>
        </is>
      </c>
      <c r="B361" s="13">
        <f>B_ext+half_B-$B$320</f>
        <v/>
      </c>
      <c r="C361" s="12">
        <f>SUMPRODUCT($E$312:$E$323*(((((($B361+$B$312:$B$323+half_B)+B_ext-ABS(($B361+$B$312:$B$323+half_B)-B_ext))/2)-((($B361+$B$312:$B$323-half_B)+ABS(($B361+$B$312:$B$323-half_B)))/2))+ABS((((($B361+$B$312:$B$323+half_B)+B_ext-ABS(($B361+$B$312:$B$323+half_B)-B_ext))/2)-((($B361+$B$312:$B$323-half_B)+ABS(($B361+$B$312:$B$323-half_B)))/2))))/2))/disp_B/disp_LL</f>
        <v/>
      </c>
    </row>
    <row r="362">
      <c r="A362" t="inlineStr">
        <is>
          <t>axle 10, right=0</t>
        </is>
      </c>
      <c r="B362" s="13">
        <f>-half_B-$B$321</f>
        <v/>
      </c>
      <c r="C362" s="12">
        <f>SUMPRODUCT($E$312:$E$323*(((((($B362+$B$312:$B$323+half_B)+B_ext-ABS(($B362+$B$312:$B$323+half_B)-B_ext))/2)-((($B362+$B$312:$B$323-half_B)+ABS(($B362+$B$312:$B$323-half_B)))/2))+ABS((((($B362+$B$312:$B$323+half_B)+B_ext-ABS(($B362+$B$312:$B$323+half_B)-B_ext))/2)-((($B362+$B$312:$B$323-half_B)+ABS(($B362+$B$312:$B$323-half_B)))/2))))/2))/disp_B/disp_LL</f>
        <v/>
      </c>
    </row>
    <row r="363">
      <c r="A363" t="inlineStr">
        <is>
          <t>axle 10, right=B_ext</t>
        </is>
      </c>
      <c r="B363" s="13">
        <f>B_ext-half_B-$B$321</f>
        <v/>
      </c>
      <c r="C363" s="12">
        <f>SUMPRODUCT($E$312:$E$323*(((((($B363+$B$312:$B$323+half_B)+B_ext-ABS(($B363+$B$312:$B$323+half_B)-B_ext))/2)-((($B363+$B$312:$B$323-half_B)+ABS(($B363+$B$312:$B$323-half_B)))/2))+ABS((((($B363+$B$312:$B$323+half_B)+B_ext-ABS(($B363+$B$312:$B$323+half_B)-B_ext))/2)-((($B363+$B$312:$B$323-half_B)+ABS(($B363+$B$312:$B$323-half_B)))/2))))/2))/disp_B/disp_LL</f>
        <v/>
      </c>
    </row>
    <row r="364">
      <c r="A364" t="inlineStr">
        <is>
          <t>axle 10, left=0</t>
        </is>
      </c>
      <c r="B364" s="13">
        <f>half_B-$B$321</f>
        <v/>
      </c>
      <c r="C364" s="12">
        <f>SUMPRODUCT($E$312:$E$323*(((((($B364+$B$312:$B$323+half_B)+B_ext-ABS(($B364+$B$312:$B$323+half_B)-B_ext))/2)-((($B364+$B$312:$B$323-half_B)+ABS(($B364+$B$312:$B$323-half_B)))/2))+ABS((((($B364+$B$312:$B$323+half_B)+B_ext-ABS(($B364+$B$312:$B$323+half_B)-B_ext))/2)-((($B364+$B$312:$B$323-half_B)+ABS(($B364+$B$312:$B$323-half_B)))/2))))/2))/disp_B/disp_LL</f>
        <v/>
      </c>
    </row>
    <row r="365">
      <c r="A365" t="inlineStr">
        <is>
          <t>axle 10, left=B_ext</t>
        </is>
      </c>
      <c r="B365" s="13">
        <f>B_ext+half_B-$B$321</f>
        <v/>
      </c>
      <c r="C365" s="12">
        <f>SUMPRODUCT($E$312:$E$323*(((((($B365+$B$312:$B$323+half_B)+B_ext-ABS(($B365+$B$312:$B$323+half_B)-B_ext))/2)-((($B365+$B$312:$B$323-half_B)+ABS(($B365+$B$312:$B$323-half_B)))/2))+ABS((((($B365+$B$312:$B$323+half_B)+B_ext-ABS(($B365+$B$312:$B$323+half_B)-B_ext))/2)-((($B365+$B$312:$B$323-half_B)+ABS(($B365+$B$312:$B$323-half_B)))/2))))/2))/disp_B/disp_LL</f>
        <v/>
      </c>
    </row>
    <row r="366">
      <c r="A366" t="inlineStr">
        <is>
          <t>axle 11, right=0</t>
        </is>
      </c>
      <c r="B366" s="13">
        <f>-half_B-$B$322</f>
        <v/>
      </c>
      <c r="C366" s="12">
        <f>SUMPRODUCT($E$312:$E$323*(((((($B366+$B$312:$B$323+half_B)+B_ext-ABS(($B366+$B$312:$B$323+half_B)-B_ext))/2)-((($B366+$B$312:$B$323-half_B)+ABS(($B366+$B$312:$B$323-half_B)))/2))+ABS((((($B366+$B$312:$B$323+half_B)+B_ext-ABS(($B366+$B$312:$B$323+half_B)-B_ext))/2)-((($B366+$B$312:$B$323-half_B)+ABS(($B366+$B$312:$B$323-half_B)))/2))))/2))/disp_B/disp_LL</f>
        <v/>
      </c>
    </row>
    <row r="367">
      <c r="A367" t="inlineStr">
        <is>
          <t>axle 11, right=B_ext</t>
        </is>
      </c>
      <c r="B367" s="13">
        <f>B_ext-half_B-$B$322</f>
        <v/>
      </c>
      <c r="C367" s="12">
        <f>SUMPRODUCT($E$312:$E$323*(((((($B367+$B$312:$B$323+half_B)+B_ext-ABS(($B367+$B$312:$B$323+half_B)-B_ext))/2)-((($B367+$B$312:$B$323-half_B)+ABS(($B367+$B$312:$B$323-half_B)))/2))+ABS((((($B367+$B$312:$B$323+half_B)+B_ext-ABS(($B367+$B$312:$B$323+half_B)-B_ext))/2)-((($B367+$B$312:$B$323-half_B)+ABS(($B367+$B$312:$B$323-half_B)))/2))))/2))/disp_B/disp_LL</f>
        <v/>
      </c>
    </row>
    <row r="368">
      <c r="A368" t="inlineStr">
        <is>
          <t>axle 11, left=0</t>
        </is>
      </c>
      <c r="B368" s="13">
        <f>half_B-$B$322</f>
        <v/>
      </c>
      <c r="C368" s="12">
        <f>SUMPRODUCT($E$312:$E$323*(((((($B368+$B$312:$B$323+half_B)+B_ext-ABS(($B368+$B$312:$B$323+half_B)-B_ext))/2)-((($B368+$B$312:$B$323-half_B)+ABS(($B368+$B$312:$B$323-half_B)))/2))+ABS((((($B368+$B$312:$B$323+half_B)+B_ext-ABS(($B368+$B$312:$B$323+half_B)-B_ext))/2)-((($B368+$B$312:$B$323-half_B)+ABS(($B368+$B$312:$B$323-half_B)))/2))))/2))/disp_B/disp_LL</f>
        <v/>
      </c>
    </row>
    <row r="369">
      <c r="A369" t="inlineStr">
        <is>
          <t>axle 11, left=B_ext</t>
        </is>
      </c>
      <c r="B369" s="13">
        <f>B_ext+half_B-$B$322</f>
        <v/>
      </c>
      <c r="C369" s="12">
        <f>SUMPRODUCT($E$312:$E$323*(((((($B369+$B$312:$B$323+half_B)+B_ext-ABS(($B369+$B$312:$B$323+half_B)-B_ext))/2)-((($B369+$B$312:$B$323-half_B)+ABS(($B369+$B$312:$B$323-half_B)))/2))+ABS((((($B369+$B$312:$B$323+half_B)+B_ext-ABS(($B369+$B$312:$B$323+half_B)-B_ext))/2)-((($B369+$B$312:$B$323-half_B)+ABS(($B369+$B$312:$B$323-half_B)))/2))))/2))/disp_B/disp_LL</f>
        <v/>
      </c>
    </row>
    <row r="370">
      <c r="A370" t="inlineStr">
        <is>
          <t>axle 12, right=0</t>
        </is>
      </c>
      <c r="B370" s="13">
        <f>-half_B-$B$323</f>
        <v/>
      </c>
      <c r="C370" s="12">
        <f>SUMPRODUCT($E$312:$E$323*(((((($B370+$B$312:$B$323+half_B)+B_ext-ABS(($B370+$B$312:$B$323+half_B)-B_ext))/2)-((($B370+$B$312:$B$323-half_B)+ABS(($B370+$B$312:$B$323-half_B)))/2))+ABS((((($B370+$B$312:$B$323+half_B)+B_ext-ABS(($B370+$B$312:$B$323+half_B)-B_ext))/2)-((($B370+$B$312:$B$323-half_B)+ABS(($B370+$B$312:$B$323-half_B)))/2))))/2))/disp_B/disp_LL</f>
        <v/>
      </c>
    </row>
    <row r="371">
      <c r="A371" t="inlineStr">
        <is>
          <t>axle 12, right=B_ext</t>
        </is>
      </c>
      <c r="B371" s="13">
        <f>B_ext-half_B-$B$323</f>
        <v/>
      </c>
      <c r="C371" s="12">
        <f>SUMPRODUCT($E$312:$E$323*(((((($B371+$B$312:$B$323+half_B)+B_ext-ABS(($B371+$B$312:$B$323+half_B)-B_ext))/2)-((($B371+$B$312:$B$323-half_B)+ABS(($B371+$B$312:$B$323-half_B)))/2))+ABS((((($B371+$B$312:$B$323+half_B)+B_ext-ABS(($B371+$B$312:$B$323+half_B)-B_ext))/2)-((($B371+$B$312:$B$323-half_B)+ABS(($B371+$B$312:$B$323-half_B)))/2))))/2))/disp_B/disp_LL</f>
        <v/>
      </c>
    </row>
    <row r="372">
      <c r="A372" t="inlineStr">
        <is>
          <t>axle 12, left=0</t>
        </is>
      </c>
      <c r="B372" s="13">
        <f>half_B-$B$323</f>
        <v/>
      </c>
      <c r="C372" s="12">
        <f>SUMPRODUCT($E$312:$E$323*(((((($B372+$B$312:$B$323+half_B)+B_ext-ABS(($B372+$B$312:$B$323+half_B)-B_ext))/2)-((($B372+$B$312:$B$323-half_B)+ABS(($B372+$B$312:$B$323-half_B)))/2))+ABS((((($B372+$B$312:$B$323+half_B)+B_ext-ABS(($B372+$B$312:$B$323+half_B)-B_ext))/2)-((($B372+$B$312:$B$323-half_B)+ABS(($B372+$B$312:$B$323-half_B)))/2))))/2))/disp_B/disp_LL</f>
        <v/>
      </c>
    </row>
    <row r="373">
      <c r="A373" t="inlineStr">
        <is>
          <t>axle 12, left=B_ext</t>
        </is>
      </c>
      <c r="B373" s="13">
        <f>B_ext+half_B-$B$323</f>
        <v/>
      </c>
      <c r="C373" s="12">
        <f>SUMPRODUCT($E$312:$E$323*(((((($B373+$B$312:$B$323+half_B)+B_ext-ABS(($B373+$B$312:$B$323+half_B)-B_ext))/2)-((($B373+$B$312:$B$323-half_B)+ABS(($B373+$B$312:$B$323-half_B)))/2))+ABS((((($B373+$B$312:$B$323+half_B)+B_ext-ABS(($B373+$B$312:$B$323+half_B)-B_ext))/2)-((($B373+$B$312:$B$323-half_B)+ABS(($B373+$B$312:$B$323-half_B)))/2))))/2))/disp_B/disp_LL</f>
        <v/>
      </c>
    </row>
    <row r="375">
      <c r="A375" t="inlineStr">
        <is>
          <t>SV196 block max, gap=5.0m (kN/m)</t>
        </is>
      </c>
      <c r="B375" s="12">
        <f>MAX(C326:C373)</f>
        <v/>
      </c>
    </row>
    <row r="377">
      <c r="A377" s="16" t="inlineStr">
        <is>
          <t>SV196 — inter-group gap = 9.0 m</t>
        </is>
      </c>
    </row>
    <row r="378">
      <c r="A378" s="7" t="inlineStr">
        <is>
          <t>Axle</t>
        </is>
      </c>
      <c r="B378" s="7" t="inlineStr">
        <is>
          <t>Position (m)</t>
        </is>
      </c>
      <c r="C378" s="7" t="inlineStr">
        <is>
          <t>Basic Load (kN)</t>
        </is>
      </c>
      <c r="D378" s="7" t="inlineStr">
        <is>
          <t>DAF</t>
        </is>
      </c>
      <c r="E378" s="7" t="inlineStr">
        <is>
          <t>Factored Load (kN)</t>
        </is>
      </c>
    </row>
    <row r="379">
      <c r="A379" t="n">
        <v>1</v>
      </c>
      <c r="B379" s="12" t="n">
        <v>0</v>
      </c>
      <c r="C379" s="11" t="n">
        <v>165</v>
      </c>
      <c r="D379" s="12" t="n">
        <v>1.12</v>
      </c>
      <c r="E379" s="12">
        <f>C379*D379</f>
        <v/>
      </c>
    </row>
    <row r="380">
      <c r="A380" t="n">
        <v>2</v>
      </c>
      <c r="B380" s="12" t="n">
        <v>1.2</v>
      </c>
      <c r="C380" s="11" t="n">
        <v>165</v>
      </c>
      <c r="D380" s="12" t="n">
        <v>1.12</v>
      </c>
      <c r="E380" s="12">
        <f>C380*D380</f>
        <v/>
      </c>
    </row>
    <row r="381">
      <c r="A381" t="n">
        <v>3</v>
      </c>
      <c r="B381" s="12" t="n">
        <v>2.4</v>
      </c>
      <c r="C381" s="11" t="n">
        <v>165</v>
      </c>
      <c r="D381" s="12" t="n">
        <v>1.12</v>
      </c>
      <c r="E381" s="12">
        <f>C381*D381</f>
        <v/>
      </c>
    </row>
    <row r="382">
      <c r="A382" t="n">
        <v>4</v>
      </c>
      <c r="B382" s="12" t="n">
        <v>3.6</v>
      </c>
      <c r="C382" s="11" t="n">
        <v>165</v>
      </c>
      <c r="D382" s="12" t="n">
        <v>1.12</v>
      </c>
      <c r="E382" s="12">
        <f>C382*D382</f>
        <v/>
      </c>
    </row>
    <row r="383">
      <c r="A383" t="n">
        <v>5</v>
      </c>
      <c r="B383" s="12" t="n">
        <v>4.8</v>
      </c>
      <c r="C383" s="11" t="n">
        <v>165</v>
      </c>
      <c r="D383" s="12" t="n">
        <v>1.12</v>
      </c>
      <c r="E383" s="12">
        <f>C383*D383</f>
        <v/>
      </c>
    </row>
    <row r="384">
      <c r="A384" t="n">
        <v>6</v>
      </c>
      <c r="B384" s="12" t="n">
        <v>13.8</v>
      </c>
      <c r="C384" s="11" t="n">
        <v>165</v>
      </c>
      <c r="D384" s="12" t="n">
        <v>1.12</v>
      </c>
      <c r="E384" s="12">
        <f>C384*D384</f>
        <v/>
      </c>
    </row>
    <row r="385">
      <c r="A385" t="n">
        <v>7</v>
      </c>
      <c r="B385" s="12" t="n">
        <v>15</v>
      </c>
      <c r="C385" s="11" t="n">
        <v>165</v>
      </c>
      <c r="D385" s="12" t="n">
        <v>1.12</v>
      </c>
      <c r="E385" s="12">
        <f>C385*D385</f>
        <v/>
      </c>
    </row>
    <row r="386">
      <c r="A386" t="n">
        <v>8</v>
      </c>
      <c r="B386" s="12" t="n">
        <v>16.2</v>
      </c>
      <c r="C386" s="11" t="n">
        <v>165</v>
      </c>
      <c r="D386" s="12" t="n">
        <v>1.12</v>
      </c>
      <c r="E386" s="12">
        <f>C386*D386</f>
        <v/>
      </c>
    </row>
    <row r="387">
      <c r="A387" t="n">
        <v>9</v>
      </c>
      <c r="B387" s="12" t="n">
        <v>17.4</v>
      </c>
      <c r="C387" s="11" t="n">
        <v>165</v>
      </c>
      <c r="D387" s="12" t="n">
        <v>1.12</v>
      </c>
      <c r="E387" s="12">
        <f>C387*D387</f>
        <v/>
      </c>
    </row>
    <row r="388">
      <c r="A388" t="n">
        <v>10</v>
      </c>
      <c r="B388" s="12" t="n">
        <v>21.4</v>
      </c>
      <c r="C388" s="11" t="n">
        <v>180</v>
      </c>
      <c r="D388" s="12" t="n">
        <v>1.1</v>
      </c>
      <c r="E388" s="12">
        <f>C388*D388</f>
        <v/>
      </c>
    </row>
    <row r="389">
      <c r="A389" t="n">
        <v>11</v>
      </c>
      <c r="B389" s="12" t="n">
        <v>23</v>
      </c>
      <c r="C389" s="11" t="n">
        <v>180</v>
      </c>
      <c r="D389" s="12" t="n">
        <v>1.1</v>
      </c>
      <c r="E389" s="12">
        <f>C389*D389</f>
        <v/>
      </c>
    </row>
    <row r="390">
      <c r="A390" t="n">
        <v>12</v>
      </c>
      <c r="B390" s="12" t="n">
        <v>27.40000000000001</v>
      </c>
      <c r="C390" s="11" t="n">
        <v>100</v>
      </c>
      <c r="D390" s="12" t="n">
        <v>1.2</v>
      </c>
      <c r="E390" s="12">
        <f>C390*D390</f>
        <v/>
      </c>
    </row>
    <row r="392">
      <c r="A392" s="7" t="inlineStr">
        <is>
          <t>Breakpoint candidate offset</t>
        </is>
      </c>
      <c r="B392" s="7" t="inlineStr">
        <is>
          <t>Offset (m)</t>
        </is>
      </c>
      <c r="C392" s="7" t="inlineStr">
        <is>
          <t>Total landed load at this offset (kN/m)</t>
        </is>
      </c>
    </row>
    <row r="393">
      <c r="A393" t="inlineStr">
        <is>
          <t>axle 1, right=0</t>
        </is>
      </c>
      <c r="B393" s="13">
        <f>-half_B-$B$379</f>
        <v/>
      </c>
      <c r="C393" s="12">
        <f>SUMPRODUCT($E$379:$E$390*(((((($B393+$B$379:$B$390+half_B)+B_ext-ABS(($B393+$B$379:$B$390+half_B)-B_ext))/2)-((($B393+$B$379:$B$390-half_B)+ABS(($B393+$B$379:$B$390-half_B)))/2))+ABS((((($B393+$B$379:$B$390+half_B)+B_ext-ABS(($B393+$B$379:$B$390+half_B)-B_ext))/2)-((($B393+$B$379:$B$390-half_B)+ABS(($B393+$B$379:$B$390-half_B)))/2))))/2))/disp_B/disp_LL</f>
        <v/>
      </c>
    </row>
    <row r="394">
      <c r="A394" t="inlineStr">
        <is>
          <t>axle 1, right=B_ext</t>
        </is>
      </c>
      <c r="B394" s="13">
        <f>B_ext-half_B-$B$379</f>
        <v/>
      </c>
      <c r="C394" s="12">
        <f>SUMPRODUCT($E$379:$E$390*(((((($B394+$B$379:$B$390+half_B)+B_ext-ABS(($B394+$B$379:$B$390+half_B)-B_ext))/2)-((($B394+$B$379:$B$390-half_B)+ABS(($B394+$B$379:$B$390-half_B)))/2))+ABS((((($B394+$B$379:$B$390+half_B)+B_ext-ABS(($B394+$B$379:$B$390+half_B)-B_ext))/2)-((($B394+$B$379:$B$390-half_B)+ABS(($B394+$B$379:$B$390-half_B)))/2))))/2))/disp_B/disp_LL</f>
        <v/>
      </c>
    </row>
    <row r="395">
      <c r="A395" t="inlineStr">
        <is>
          <t>axle 1, left=0</t>
        </is>
      </c>
      <c r="B395" s="13">
        <f>half_B-$B$379</f>
        <v/>
      </c>
      <c r="C395" s="12">
        <f>SUMPRODUCT($E$379:$E$390*(((((($B395+$B$379:$B$390+half_B)+B_ext-ABS(($B395+$B$379:$B$390+half_B)-B_ext))/2)-((($B395+$B$379:$B$390-half_B)+ABS(($B395+$B$379:$B$390-half_B)))/2))+ABS((((($B395+$B$379:$B$390+half_B)+B_ext-ABS(($B395+$B$379:$B$390+half_B)-B_ext))/2)-((($B395+$B$379:$B$390-half_B)+ABS(($B395+$B$379:$B$390-half_B)))/2))))/2))/disp_B/disp_LL</f>
        <v/>
      </c>
    </row>
    <row r="396">
      <c r="A396" t="inlineStr">
        <is>
          <t>axle 1, left=B_ext</t>
        </is>
      </c>
      <c r="B396" s="13">
        <f>B_ext+half_B-$B$379</f>
        <v/>
      </c>
      <c r="C396" s="12">
        <f>SUMPRODUCT($E$379:$E$390*(((((($B396+$B$379:$B$390+half_B)+B_ext-ABS(($B396+$B$379:$B$390+half_B)-B_ext))/2)-((($B396+$B$379:$B$390-half_B)+ABS(($B396+$B$379:$B$390-half_B)))/2))+ABS((((($B396+$B$379:$B$390+half_B)+B_ext-ABS(($B396+$B$379:$B$390+half_B)-B_ext))/2)-((($B396+$B$379:$B$390-half_B)+ABS(($B396+$B$379:$B$390-half_B)))/2))))/2))/disp_B/disp_LL</f>
        <v/>
      </c>
    </row>
    <row r="397">
      <c r="A397" t="inlineStr">
        <is>
          <t>axle 2, right=0</t>
        </is>
      </c>
      <c r="B397" s="13">
        <f>-half_B-$B$380</f>
        <v/>
      </c>
      <c r="C397" s="12">
        <f>SUMPRODUCT($E$379:$E$390*(((((($B397+$B$379:$B$390+half_B)+B_ext-ABS(($B397+$B$379:$B$390+half_B)-B_ext))/2)-((($B397+$B$379:$B$390-half_B)+ABS(($B397+$B$379:$B$390-half_B)))/2))+ABS((((($B397+$B$379:$B$390+half_B)+B_ext-ABS(($B397+$B$379:$B$390+half_B)-B_ext))/2)-((($B397+$B$379:$B$390-half_B)+ABS(($B397+$B$379:$B$390-half_B)))/2))))/2))/disp_B/disp_LL</f>
        <v/>
      </c>
    </row>
    <row r="398">
      <c r="A398" t="inlineStr">
        <is>
          <t>axle 2, right=B_ext</t>
        </is>
      </c>
      <c r="B398" s="13">
        <f>B_ext-half_B-$B$380</f>
        <v/>
      </c>
      <c r="C398" s="12">
        <f>SUMPRODUCT($E$379:$E$390*(((((($B398+$B$379:$B$390+half_B)+B_ext-ABS(($B398+$B$379:$B$390+half_B)-B_ext))/2)-((($B398+$B$379:$B$390-half_B)+ABS(($B398+$B$379:$B$390-half_B)))/2))+ABS((((($B398+$B$379:$B$390+half_B)+B_ext-ABS(($B398+$B$379:$B$390+half_B)-B_ext))/2)-((($B398+$B$379:$B$390-half_B)+ABS(($B398+$B$379:$B$390-half_B)))/2))))/2))/disp_B/disp_LL</f>
        <v/>
      </c>
    </row>
    <row r="399">
      <c r="A399" t="inlineStr">
        <is>
          <t>axle 2, left=0</t>
        </is>
      </c>
      <c r="B399" s="13">
        <f>half_B-$B$380</f>
        <v/>
      </c>
      <c r="C399" s="12">
        <f>SUMPRODUCT($E$379:$E$390*(((((($B399+$B$379:$B$390+half_B)+B_ext-ABS(($B399+$B$379:$B$390+half_B)-B_ext))/2)-((($B399+$B$379:$B$390-half_B)+ABS(($B399+$B$379:$B$390-half_B)))/2))+ABS((((($B399+$B$379:$B$390+half_B)+B_ext-ABS(($B399+$B$379:$B$390+half_B)-B_ext))/2)-((($B399+$B$379:$B$390-half_B)+ABS(($B399+$B$379:$B$390-half_B)))/2))))/2))/disp_B/disp_LL</f>
        <v/>
      </c>
    </row>
    <row r="400">
      <c r="A400" t="inlineStr">
        <is>
          <t>axle 2, left=B_ext</t>
        </is>
      </c>
      <c r="B400" s="13">
        <f>B_ext+half_B-$B$380</f>
        <v/>
      </c>
      <c r="C400" s="12">
        <f>SUMPRODUCT($E$379:$E$390*(((((($B400+$B$379:$B$390+half_B)+B_ext-ABS(($B400+$B$379:$B$390+half_B)-B_ext))/2)-((($B400+$B$379:$B$390-half_B)+ABS(($B400+$B$379:$B$390-half_B)))/2))+ABS((((($B400+$B$379:$B$390+half_B)+B_ext-ABS(($B400+$B$379:$B$390+half_B)-B_ext))/2)-((($B400+$B$379:$B$390-half_B)+ABS(($B400+$B$379:$B$390-half_B)))/2))))/2))/disp_B/disp_LL</f>
        <v/>
      </c>
    </row>
    <row r="401">
      <c r="A401" t="inlineStr">
        <is>
          <t>axle 3, right=0</t>
        </is>
      </c>
      <c r="B401" s="13">
        <f>-half_B-$B$381</f>
        <v/>
      </c>
      <c r="C401" s="12">
        <f>SUMPRODUCT($E$379:$E$390*(((((($B401+$B$379:$B$390+half_B)+B_ext-ABS(($B401+$B$379:$B$390+half_B)-B_ext))/2)-((($B401+$B$379:$B$390-half_B)+ABS(($B401+$B$379:$B$390-half_B)))/2))+ABS((((($B401+$B$379:$B$390+half_B)+B_ext-ABS(($B401+$B$379:$B$390+half_B)-B_ext))/2)-((($B401+$B$379:$B$390-half_B)+ABS(($B401+$B$379:$B$390-half_B)))/2))))/2))/disp_B/disp_LL</f>
        <v/>
      </c>
    </row>
    <row r="402">
      <c r="A402" t="inlineStr">
        <is>
          <t>axle 3, right=B_ext</t>
        </is>
      </c>
      <c r="B402" s="13">
        <f>B_ext-half_B-$B$381</f>
        <v/>
      </c>
      <c r="C402" s="12">
        <f>SUMPRODUCT($E$379:$E$390*(((((($B402+$B$379:$B$390+half_B)+B_ext-ABS(($B402+$B$379:$B$390+half_B)-B_ext))/2)-((($B402+$B$379:$B$390-half_B)+ABS(($B402+$B$379:$B$390-half_B)))/2))+ABS((((($B402+$B$379:$B$390+half_B)+B_ext-ABS(($B402+$B$379:$B$390+half_B)-B_ext))/2)-((($B402+$B$379:$B$390-half_B)+ABS(($B402+$B$379:$B$390-half_B)))/2))))/2))/disp_B/disp_LL</f>
        <v/>
      </c>
    </row>
    <row r="403">
      <c r="A403" t="inlineStr">
        <is>
          <t>axle 3, left=0</t>
        </is>
      </c>
      <c r="B403" s="13">
        <f>half_B-$B$381</f>
        <v/>
      </c>
      <c r="C403" s="12">
        <f>SUMPRODUCT($E$379:$E$390*(((((($B403+$B$379:$B$390+half_B)+B_ext-ABS(($B403+$B$379:$B$390+half_B)-B_ext))/2)-((($B403+$B$379:$B$390-half_B)+ABS(($B403+$B$379:$B$390-half_B)))/2))+ABS((((($B403+$B$379:$B$390+half_B)+B_ext-ABS(($B403+$B$379:$B$390+half_B)-B_ext))/2)-((($B403+$B$379:$B$390-half_B)+ABS(($B403+$B$379:$B$390-half_B)))/2))))/2))/disp_B/disp_LL</f>
        <v/>
      </c>
    </row>
    <row r="404">
      <c r="A404" t="inlineStr">
        <is>
          <t>axle 3, left=B_ext</t>
        </is>
      </c>
      <c r="B404" s="13">
        <f>B_ext+half_B-$B$381</f>
        <v/>
      </c>
      <c r="C404" s="12">
        <f>SUMPRODUCT($E$379:$E$390*(((((($B404+$B$379:$B$390+half_B)+B_ext-ABS(($B404+$B$379:$B$390+half_B)-B_ext))/2)-((($B404+$B$379:$B$390-half_B)+ABS(($B404+$B$379:$B$390-half_B)))/2))+ABS((((($B404+$B$379:$B$390+half_B)+B_ext-ABS(($B404+$B$379:$B$390+half_B)-B_ext))/2)-((($B404+$B$379:$B$390-half_B)+ABS(($B404+$B$379:$B$390-half_B)))/2))))/2))/disp_B/disp_LL</f>
        <v/>
      </c>
    </row>
    <row r="405">
      <c r="A405" t="inlineStr">
        <is>
          <t>axle 4, right=0</t>
        </is>
      </c>
      <c r="B405" s="13">
        <f>-half_B-$B$382</f>
        <v/>
      </c>
      <c r="C405" s="12">
        <f>SUMPRODUCT($E$379:$E$390*(((((($B405+$B$379:$B$390+half_B)+B_ext-ABS(($B405+$B$379:$B$390+half_B)-B_ext))/2)-((($B405+$B$379:$B$390-half_B)+ABS(($B405+$B$379:$B$390-half_B)))/2))+ABS((((($B405+$B$379:$B$390+half_B)+B_ext-ABS(($B405+$B$379:$B$390+half_B)-B_ext))/2)-((($B405+$B$379:$B$390-half_B)+ABS(($B405+$B$379:$B$390-half_B)))/2))))/2))/disp_B/disp_LL</f>
        <v/>
      </c>
    </row>
    <row r="406">
      <c r="A406" t="inlineStr">
        <is>
          <t>axle 4, right=B_ext</t>
        </is>
      </c>
      <c r="B406" s="13">
        <f>B_ext-half_B-$B$382</f>
        <v/>
      </c>
      <c r="C406" s="12">
        <f>SUMPRODUCT($E$379:$E$390*(((((($B406+$B$379:$B$390+half_B)+B_ext-ABS(($B406+$B$379:$B$390+half_B)-B_ext))/2)-((($B406+$B$379:$B$390-half_B)+ABS(($B406+$B$379:$B$390-half_B)))/2))+ABS((((($B406+$B$379:$B$390+half_B)+B_ext-ABS(($B406+$B$379:$B$390+half_B)-B_ext))/2)-((($B406+$B$379:$B$390-half_B)+ABS(($B406+$B$379:$B$390-half_B)))/2))))/2))/disp_B/disp_LL</f>
        <v/>
      </c>
    </row>
    <row r="407">
      <c r="A407" t="inlineStr">
        <is>
          <t>axle 4, left=0</t>
        </is>
      </c>
      <c r="B407" s="13">
        <f>half_B-$B$382</f>
        <v/>
      </c>
      <c r="C407" s="12">
        <f>SUMPRODUCT($E$379:$E$390*(((((($B407+$B$379:$B$390+half_B)+B_ext-ABS(($B407+$B$379:$B$390+half_B)-B_ext))/2)-((($B407+$B$379:$B$390-half_B)+ABS(($B407+$B$379:$B$390-half_B)))/2))+ABS((((($B407+$B$379:$B$390+half_B)+B_ext-ABS(($B407+$B$379:$B$390+half_B)-B_ext))/2)-((($B407+$B$379:$B$390-half_B)+ABS(($B407+$B$379:$B$390-half_B)))/2))))/2))/disp_B/disp_LL</f>
        <v/>
      </c>
    </row>
    <row r="408">
      <c r="A408" t="inlineStr">
        <is>
          <t>axle 4, left=B_ext</t>
        </is>
      </c>
      <c r="B408" s="13">
        <f>B_ext+half_B-$B$382</f>
        <v/>
      </c>
      <c r="C408" s="12">
        <f>SUMPRODUCT($E$379:$E$390*(((((($B408+$B$379:$B$390+half_B)+B_ext-ABS(($B408+$B$379:$B$390+half_B)-B_ext))/2)-((($B408+$B$379:$B$390-half_B)+ABS(($B408+$B$379:$B$390-half_B)))/2))+ABS((((($B408+$B$379:$B$390+half_B)+B_ext-ABS(($B408+$B$379:$B$390+half_B)-B_ext))/2)-((($B408+$B$379:$B$390-half_B)+ABS(($B408+$B$379:$B$390-half_B)))/2))))/2))/disp_B/disp_LL</f>
        <v/>
      </c>
    </row>
    <row r="409">
      <c r="A409" t="inlineStr">
        <is>
          <t>axle 5, right=0</t>
        </is>
      </c>
      <c r="B409" s="13">
        <f>-half_B-$B$383</f>
        <v/>
      </c>
      <c r="C409" s="12">
        <f>SUMPRODUCT($E$379:$E$390*(((((($B409+$B$379:$B$390+half_B)+B_ext-ABS(($B409+$B$379:$B$390+half_B)-B_ext))/2)-((($B409+$B$379:$B$390-half_B)+ABS(($B409+$B$379:$B$390-half_B)))/2))+ABS((((($B409+$B$379:$B$390+half_B)+B_ext-ABS(($B409+$B$379:$B$390+half_B)-B_ext))/2)-((($B409+$B$379:$B$390-half_B)+ABS(($B409+$B$379:$B$390-half_B)))/2))))/2))/disp_B/disp_LL</f>
        <v/>
      </c>
    </row>
    <row r="410">
      <c r="A410" t="inlineStr">
        <is>
          <t>axle 5, right=B_ext</t>
        </is>
      </c>
      <c r="B410" s="13">
        <f>B_ext-half_B-$B$383</f>
        <v/>
      </c>
      <c r="C410" s="12">
        <f>SUMPRODUCT($E$379:$E$390*(((((($B410+$B$379:$B$390+half_B)+B_ext-ABS(($B410+$B$379:$B$390+half_B)-B_ext))/2)-((($B410+$B$379:$B$390-half_B)+ABS(($B410+$B$379:$B$390-half_B)))/2))+ABS((((($B410+$B$379:$B$390+half_B)+B_ext-ABS(($B410+$B$379:$B$390+half_B)-B_ext))/2)-((($B410+$B$379:$B$390-half_B)+ABS(($B410+$B$379:$B$390-half_B)))/2))))/2))/disp_B/disp_LL</f>
        <v/>
      </c>
    </row>
    <row r="411">
      <c r="A411" t="inlineStr">
        <is>
          <t>axle 5, left=0</t>
        </is>
      </c>
      <c r="B411" s="13">
        <f>half_B-$B$383</f>
        <v/>
      </c>
      <c r="C411" s="12">
        <f>SUMPRODUCT($E$379:$E$390*(((((($B411+$B$379:$B$390+half_B)+B_ext-ABS(($B411+$B$379:$B$390+half_B)-B_ext))/2)-((($B411+$B$379:$B$390-half_B)+ABS(($B411+$B$379:$B$390-half_B)))/2))+ABS((((($B411+$B$379:$B$390+half_B)+B_ext-ABS(($B411+$B$379:$B$390+half_B)-B_ext))/2)-((($B411+$B$379:$B$390-half_B)+ABS(($B411+$B$379:$B$390-half_B)))/2))))/2))/disp_B/disp_LL</f>
        <v/>
      </c>
    </row>
    <row r="412">
      <c r="A412" t="inlineStr">
        <is>
          <t>axle 5, left=B_ext</t>
        </is>
      </c>
      <c r="B412" s="13">
        <f>B_ext+half_B-$B$383</f>
        <v/>
      </c>
      <c r="C412" s="12">
        <f>SUMPRODUCT($E$379:$E$390*(((((($B412+$B$379:$B$390+half_B)+B_ext-ABS(($B412+$B$379:$B$390+half_B)-B_ext))/2)-((($B412+$B$379:$B$390-half_B)+ABS(($B412+$B$379:$B$390-half_B)))/2))+ABS((((($B412+$B$379:$B$390+half_B)+B_ext-ABS(($B412+$B$379:$B$390+half_B)-B_ext))/2)-((($B412+$B$379:$B$390-half_B)+ABS(($B412+$B$379:$B$390-half_B)))/2))))/2))/disp_B/disp_LL</f>
        <v/>
      </c>
    </row>
    <row r="413">
      <c r="A413" t="inlineStr">
        <is>
          <t>axle 6, right=0</t>
        </is>
      </c>
      <c r="B413" s="13">
        <f>-half_B-$B$384</f>
        <v/>
      </c>
      <c r="C413" s="12">
        <f>SUMPRODUCT($E$379:$E$390*(((((($B413+$B$379:$B$390+half_B)+B_ext-ABS(($B413+$B$379:$B$390+half_B)-B_ext))/2)-((($B413+$B$379:$B$390-half_B)+ABS(($B413+$B$379:$B$390-half_B)))/2))+ABS((((($B413+$B$379:$B$390+half_B)+B_ext-ABS(($B413+$B$379:$B$390+half_B)-B_ext))/2)-((($B413+$B$379:$B$390-half_B)+ABS(($B413+$B$379:$B$390-half_B)))/2))))/2))/disp_B/disp_LL</f>
        <v/>
      </c>
    </row>
    <row r="414">
      <c r="A414" t="inlineStr">
        <is>
          <t>axle 6, right=B_ext</t>
        </is>
      </c>
      <c r="B414" s="13">
        <f>B_ext-half_B-$B$384</f>
        <v/>
      </c>
      <c r="C414" s="12">
        <f>SUMPRODUCT($E$379:$E$390*(((((($B414+$B$379:$B$390+half_B)+B_ext-ABS(($B414+$B$379:$B$390+half_B)-B_ext))/2)-((($B414+$B$379:$B$390-half_B)+ABS(($B414+$B$379:$B$390-half_B)))/2))+ABS((((($B414+$B$379:$B$390+half_B)+B_ext-ABS(($B414+$B$379:$B$390+half_B)-B_ext))/2)-((($B414+$B$379:$B$390-half_B)+ABS(($B414+$B$379:$B$390-half_B)))/2))))/2))/disp_B/disp_LL</f>
        <v/>
      </c>
    </row>
    <row r="415">
      <c r="A415" t="inlineStr">
        <is>
          <t>axle 6, left=0</t>
        </is>
      </c>
      <c r="B415" s="13">
        <f>half_B-$B$384</f>
        <v/>
      </c>
      <c r="C415" s="12">
        <f>SUMPRODUCT($E$379:$E$390*(((((($B415+$B$379:$B$390+half_B)+B_ext-ABS(($B415+$B$379:$B$390+half_B)-B_ext))/2)-((($B415+$B$379:$B$390-half_B)+ABS(($B415+$B$379:$B$390-half_B)))/2))+ABS((((($B415+$B$379:$B$390+half_B)+B_ext-ABS(($B415+$B$379:$B$390+half_B)-B_ext))/2)-((($B415+$B$379:$B$390-half_B)+ABS(($B415+$B$379:$B$390-half_B)))/2))))/2))/disp_B/disp_LL</f>
        <v/>
      </c>
    </row>
    <row r="416">
      <c r="A416" t="inlineStr">
        <is>
          <t>axle 6, left=B_ext</t>
        </is>
      </c>
      <c r="B416" s="13">
        <f>B_ext+half_B-$B$384</f>
        <v/>
      </c>
      <c r="C416" s="12">
        <f>SUMPRODUCT($E$379:$E$390*(((((($B416+$B$379:$B$390+half_B)+B_ext-ABS(($B416+$B$379:$B$390+half_B)-B_ext))/2)-((($B416+$B$379:$B$390-half_B)+ABS(($B416+$B$379:$B$390-half_B)))/2))+ABS((((($B416+$B$379:$B$390+half_B)+B_ext-ABS(($B416+$B$379:$B$390+half_B)-B_ext))/2)-((($B416+$B$379:$B$390-half_B)+ABS(($B416+$B$379:$B$390-half_B)))/2))))/2))/disp_B/disp_LL</f>
        <v/>
      </c>
    </row>
    <row r="417">
      <c r="A417" t="inlineStr">
        <is>
          <t>axle 7, right=0</t>
        </is>
      </c>
      <c r="B417" s="13">
        <f>-half_B-$B$385</f>
        <v/>
      </c>
      <c r="C417" s="12">
        <f>SUMPRODUCT($E$379:$E$390*(((((($B417+$B$379:$B$390+half_B)+B_ext-ABS(($B417+$B$379:$B$390+half_B)-B_ext))/2)-((($B417+$B$379:$B$390-half_B)+ABS(($B417+$B$379:$B$390-half_B)))/2))+ABS((((($B417+$B$379:$B$390+half_B)+B_ext-ABS(($B417+$B$379:$B$390+half_B)-B_ext))/2)-((($B417+$B$379:$B$390-half_B)+ABS(($B417+$B$379:$B$390-half_B)))/2))))/2))/disp_B/disp_LL</f>
        <v/>
      </c>
    </row>
    <row r="418">
      <c r="A418" t="inlineStr">
        <is>
          <t>axle 7, right=B_ext</t>
        </is>
      </c>
      <c r="B418" s="13">
        <f>B_ext-half_B-$B$385</f>
        <v/>
      </c>
      <c r="C418" s="12">
        <f>SUMPRODUCT($E$379:$E$390*(((((($B418+$B$379:$B$390+half_B)+B_ext-ABS(($B418+$B$379:$B$390+half_B)-B_ext))/2)-((($B418+$B$379:$B$390-half_B)+ABS(($B418+$B$379:$B$390-half_B)))/2))+ABS((((($B418+$B$379:$B$390+half_B)+B_ext-ABS(($B418+$B$379:$B$390+half_B)-B_ext))/2)-((($B418+$B$379:$B$390-half_B)+ABS(($B418+$B$379:$B$390-half_B)))/2))))/2))/disp_B/disp_LL</f>
        <v/>
      </c>
    </row>
    <row r="419">
      <c r="A419" t="inlineStr">
        <is>
          <t>axle 7, left=0</t>
        </is>
      </c>
      <c r="B419" s="13">
        <f>half_B-$B$385</f>
        <v/>
      </c>
      <c r="C419" s="12">
        <f>SUMPRODUCT($E$379:$E$390*(((((($B419+$B$379:$B$390+half_B)+B_ext-ABS(($B419+$B$379:$B$390+half_B)-B_ext))/2)-((($B419+$B$379:$B$390-half_B)+ABS(($B419+$B$379:$B$390-half_B)))/2))+ABS((((($B419+$B$379:$B$390+half_B)+B_ext-ABS(($B419+$B$379:$B$390+half_B)-B_ext))/2)-((($B419+$B$379:$B$390-half_B)+ABS(($B419+$B$379:$B$390-half_B)))/2))))/2))/disp_B/disp_LL</f>
        <v/>
      </c>
    </row>
    <row r="420">
      <c r="A420" t="inlineStr">
        <is>
          <t>axle 7, left=B_ext</t>
        </is>
      </c>
      <c r="B420" s="13">
        <f>B_ext+half_B-$B$385</f>
        <v/>
      </c>
      <c r="C420" s="12">
        <f>SUMPRODUCT($E$379:$E$390*(((((($B420+$B$379:$B$390+half_B)+B_ext-ABS(($B420+$B$379:$B$390+half_B)-B_ext))/2)-((($B420+$B$379:$B$390-half_B)+ABS(($B420+$B$379:$B$390-half_B)))/2))+ABS((((($B420+$B$379:$B$390+half_B)+B_ext-ABS(($B420+$B$379:$B$390+half_B)-B_ext))/2)-((($B420+$B$379:$B$390-half_B)+ABS(($B420+$B$379:$B$390-half_B)))/2))))/2))/disp_B/disp_LL</f>
        <v/>
      </c>
    </row>
    <row r="421">
      <c r="A421" t="inlineStr">
        <is>
          <t>axle 8, right=0</t>
        </is>
      </c>
      <c r="B421" s="13">
        <f>-half_B-$B$386</f>
        <v/>
      </c>
      <c r="C421" s="12">
        <f>SUMPRODUCT($E$379:$E$390*(((((($B421+$B$379:$B$390+half_B)+B_ext-ABS(($B421+$B$379:$B$390+half_B)-B_ext))/2)-((($B421+$B$379:$B$390-half_B)+ABS(($B421+$B$379:$B$390-half_B)))/2))+ABS((((($B421+$B$379:$B$390+half_B)+B_ext-ABS(($B421+$B$379:$B$390+half_B)-B_ext))/2)-((($B421+$B$379:$B$390-half_B)+ABS(($B421+$B$379:$B$390-half_B)))/2))))/2))/disp_B/disp_LL</f>
        <v/>
      </c>
    </row>
    <row r="422">
      <c r="A422" t="inlineStr">
        <is>
          <t>axle 8, right=B_ext</t>
        </is>
      </c>
      <c r="B422" s="13">
        <f>B_ext-half_B-$B$386</f>
        <v/>
      </c>
      <c r="C422" s="12">
        <f>SUMPRODUCT($E$379:$E$390*(((((($B422+$B$379:$B$390+half_B)+B_ext-ABS(($B422+$B$379:$B$390+half_B)-B_ext))/2)-((($B422+$B$379:$B$390-half_B)+ABS(($B422+$B$379:$B$390-half_B)))/2))+ABS((((($B422+$B$379:$B$390+half_B)+B_ext-ABS(($B422+$B$379:$B$390+half_B)-B_ext))/2)-((($B422+$B$379:$B$390-half_B)+ABS(($B422+$B$379:$B$390-half_B)))/2))))/2))/disp_B/disp_LL</f>
        <v/>
      </c>
    </row>
    <row r="423">
      <c r="A423" t="inlineStr">
        <is>
          <t>axle 8, left=0</t>
        </is>
      </c>
      <c r="B423" s="13">
        <f>half_B-$B$386</f>
        <v/>
      </c>
      <c r="C423" s="12">
        <f>SUMPRODUCT($E$379:$E$390*(((((($B423+$B$379:$B$390+half_B)+B_ext-ABS(($B423+$B$379:$B$390+half_B)-B_ext))/2)-((($B423+$B$379:$B$390-half_B)+ABS(($B423+$B$379:$B$390-half_B)))/2))+ABS((((($B423+$B$379:$B$390+half_B)+B_ext-ABS(($B423+$B$379:$B$390+half_B)-B_ext))/2)-((($B423+$B$379:$B$390-half_B)+ABS(($B423+$B$379:$B$390-half_B)))/2))))/2))/disp_B/disp_LL</f>
        <v/>
      </c>
    </row>
    <row r="424">
      <c r="A424" t="inlineStr">
        <is>
          <t>axle 8, left=B_ext</t>
        </is>
      </c>
      <c r="B424" s="13">
        <f>B_ext+half_B-$B$386</f>
        <v/>
      </c>
      <c r="C424" s="12">
        <f>SUMPRODUCT($E$379:$E$390*(((((($B424+$B$379:$B$390+half_B)+B_ext-ABS(($B424+$B$379:$B$390+half_B)-B_ext))/2)-((($B424+$B$379:$B$390-half_B)+ABS(($B424+$B$379:$B$390-half_B)))/2))+ABS((((($B424+$B$379:$B$390+half_B)+B_ext-ABS(($B424+$B$379:$B$390+half_B)-B_ext))/2)-((($B424+$B$379:$B$390-half_B)+ABS(($B424+$B$379:$B$390-half_B)))/2))))/2))/disp_B/disp_LL</f>
        <v/>
      </c>
    </row>
    <row r="425">
      <c r="A425" t="inlineStr">
        <is>
          <t>axle 9, right=0</t>
        </is>
      </c>
      <c r="B425" s="13">
        <f>-half_B-$B$387</f>
        <v/>
      </c>
      <c r="C425" s="12">
        <f>SUMPRODUCT($E$379:$E$390*(((((($B425+$B$379:$B$390+half_B)+B_ext-ABS(($B425+$B$379:$B$390+half_B)-B_ext))/2)-((($B425+$B$379:$B$390-half_B)+ABS(($B425+$B$379:$B$390-half_B)))/2))+ABS((((($B425+$B$379:$B$390+half_B)+B_ext-ABS(($B425+$B$379:$B$390+half_B)-B_ext))/2)-((($B425+$B$379:$B$390-half_B)+ABS(($B425+$B$379:$B$390-half_B)))/2))))/2))/disp_B/disp_LL</f>
        <v/>
      </c>
    </row>
    <row r="426">
      <c r="A426" t="inlineStr">
        <is>
          <t>axle 9, right=B_ext</t>
        </is>
      </c>
      <c r="B426" s="13">
        <f>B_ext-half_B-$B$387</f>
        <v/>
      </c>
      <c r="C426" s="12">
        <f>SUMPRODUCT($E$379:$E$390*(((((($B426+$B$379:$B$390+half_B)+B_ext-ABS(($B426+$B$379:$B$390+half_B)-B_ext))/2)-((($B426+$B$379:$B$390-half_B)+ABS(($B426+$B$379:$B$390-half_B)))/2))+ABS((((($B426+$B$379:$B$390+half_B)+B_ext-ABS(($B426+$B$379:$B$390+half_B)-B_ext))/2)-((($B426+$B$379:$B$390-half_B)+ABS(($B426+$B$379:$B$390-half_B)))/2))))/2))/disp_B/disp_LL</f>
        <v/>
      </c>
    </row>
    <row r="427">
      <c r="A427" t="inlineStr">
        <is>
          <t>axle 9, left=0</t>
        </is>
      </c>
      <c r="B427" s="13">
        <f>half_B-$B$387</f>
        <v/>
      </c>
      <c r="C427" s="12">
        <f>SUMPRODUCT($E$379:$E$390*(((((($B427+$B$379:$B$390+half_B)+B_ext-ABS(($B427+$B$379:$B$390+half_B)-B_ext))/2)-((($B427+$B$379:$B$390-half_B)+ABS(($B427+$B$379:$B$390-half_B)))/2))+ABS((((($B427+$B$379:$B$390+half_B)+B_ext-ABS(($B427+$B$379:$B$390+half_B)-B_ext))/2)-((($B427+$B$379:$B$390-half_B)+ABS(($B427+$B$379:$B$390-half_B)))/2))))/2))/disp_B/disp_LL</f>
        <v/>
      </c>
    </row>
    <row r="428">
      <c r="A428" t="inlineStr">
        <is>
          <t>axle 9, left=B_ext</t>
        </is>
      </c>
      <c r="B428" s="13">
        <f>B_ext+half_B-$B$387</f>
        <v/>
      </c>
      <c r="C428" s="12">
        <f>SUMPRODUCT($E$379:$E$390*(((((($B428+$B$379:$B$390+half_B)+B_ext-ABS(($B428+$B$379:$B$390+half_B)-B_ext))/2)-((($B428+$B$379:$B$390-half_B)+ABS(($B428+$B$379:$B$390-half_B)))/2))+ABS((((($B428+$B$379:$B$390+half_B)+B_ext-ABS(($B428+$B$379:$B$390+half_B)-B_ext))/2)-((($B428+$B$379:$B$390-half_B)+ABS(($B428+$B$379:$B$390-half_B)))/2))))/2))/disp_B/disp_LL</f>
        <v/>
      </c>
    </row>
    <row r="429">
      <c r="A429" t="inlineStr">
        <is>
          <t>axle 10, right=0</t>
        </is>
      </c>
      <c r="B429" s="13">
        <f>-half_B-$B$388</f>
        <v/>
      </c>
      <c r="C429" s="12">
        <f>SUMPRODUCT($E$379:$E$390*(((((($B429+$B$379:$B$390+half_B)+B_ext-ABS(($B429+$B$379:$B$390+half_B)-B_ext))/2)-((($B429+$B$379:$B$390-half_B)+ABS(($B429+$B$379:$B$390-half_B)))/2))+ABS((((($B429+$B$379:$B$390+half_B)+B_ext-ABS(($B429+$B$379:$B$390+half_B)-B_ext))/2)-((($B429+$B$379:$B$390-half_B)+ABS(($B429+$B$379:$B$390-half_B)))/2))))/2))/disp_B/disp_LL</f>
        <v/>
      </c>
    </row>
    <row r="430">
      <c r="A430" t="inlineStr">
        <is>
          <t>axle 10, right=B_ext</t>
        </is>
      </c>
      <c r="B430" s="13">
        <f>B_ext-half_B-$B$388</f>
        <v/>
      </c>
      <c r="C430" s="12">
        <f>SUMPRODUCT($E$379:$E$390*(((((($B430+$B$379:$B$390+half_B)+B_ext-ABS(($B430+$B$379:$B$390+half_B)-B_ext))/2)-((($B430+$B$379:$B$390-half_B)+ABS(($B430+$B$379:$B$390-half_B)))/2))+ABS((((($B430+$B$379:$B$390+half_B)+B_ext-ABS(($B430+$B$379:$B$390+half_B)-B_ext))/2)-((($B430+$B$379:$B$390-half_B)+ABS(($B430+$B$379:$B$390-half_B)))/2))))/2))/disp_B/disp_LL</f>
        <v/>
      </c>
    </row>
    <row r="431">
      <c r="A431" t="inlineStr">
        <is>
          <t>axle 10, left=0</t>
        </is>
      </c>
      <c r="B431" s="13">
        <f>half_B-$B$388</f>
        <v/>
      </c>
      <c r="C431" s="12">
        <f>SUMPRODUCT($E$379:$E$390*(((((($B431+$B$379:$B$390+half_B)+B_ext-ABS(($B431+$B$379:$B$390+half_B)-B_ext))/2)-((($B431+$B$379:$B$390-half_B)+ABS(($B431+$B$379:$B$390-half_B)))/2))+ABS((((($B431+$B$379:$B$390+half_B)+B_ext-ABS(($B431+$B$379:$B$390+half_B)-B_ext))/2)-((($B431+$B$379:$B$390-half_B)+ABS(($B431+$B$379:$B$390-half_B)))/2))))/2))/disp_B/disp_LL</f>
        <v/>
      </c>
    </row>
    <row r="432">
      <c r="A432" t="inlineStr">
        <is>
          <t>axle 10, left=B_ext</t>
        </is>
      </c>
      <c r="B432" s="13">
        <f>B_ext+half_B-$B$388</f>
        <v/>
      </c>
      <c r="C432" s="12">
        <f>SUMPRODUCT($E$379:$E$390*(((((($B432+$B$379:$B$390+half_B)+B_ext-ABS(($B432+$B$379:$B$390+half_B)-B_ext))/2)-((($B432+$B$379:$B$390-half_B)+ABS(($B432+$B$379:$B$390-half_B)))/2))+ABS((((($B432+$B$379:$B$390+half_B)+B_ext-ABS(($B432+$B$379:$B$390+half_B)-B_ext))/2)-((($B432+$B$379:$B$390-half_B)+ABS(($B432+$B$379:$B$390-half_B)))/2))))/2))/disp_B/disp_LL</f>
        <v/>
      </c>
    </row>
    <row r="433">
      <c r="A433" t="inlineStr">
        <is>
          <t>axle 11, right=0</t>
        </is>
      </c>
      <c r="B433" s="13">
        <f>-half_B-$B$389</f>
        <v/>
      </c>
      <c r="C433" s="12">
        <f>SUMPRODUCT($E$379:$E$390*(((((($B433+$B$379:$B$390+half_B)+B_ext-ABS(($B433+$B$379:$B$390+half_B)-B_ext))/2)-((($B433+$B$379:$B$390-half_B)+ABS(($B433+$B$379:$B$390-half_B)))/2))+ABS((((($B433+$B$379:$B$390+half_B)+B_ext-ABS(($B433+$B$379:$B$390+half_B)-B_ext))/2)-((($B433+$B$379:$B$390-half_B)+ABS(($B433+$B$379:$B$390-half_B)))/2))))/2))/disp_B/disp_LL</f>
        <v/>
      </c>
    </row>
    <row r="434">
      <c r="A434" t="inlineStr">
        <is>
          <t>axle 11, right=B_ext</t>
        </is>
      </c>
      <c r="B434" s="13">
        <f>B_ext-half_B-$B$389</f>
        <v/>
      </c>
      <c r="C434" s="12">
        <f>SUMPRODUCT($E$379:$E$390*(((((($B434+$B$379:$B$390+half_B)+B_ext-ABS(($B434+$B$379:$B$390+half_B)-B_ext))/2)-((($B434+$B$379:$B$390-half_B)+ABS(($B434+$B$379:$B$390-half_B)))/2))+ABS((((($B434+$B$379:$B$390+half_B)+B_ext-ABS(($B434+$B$379:$B$390+half_B)-B_ext))/2)-((($B434+$B$379:$B$390-half_B)+ABS(($B434+$B$379:$B$390-half_B)))/2))))/2))/disp_B/disp_LL</f>
        <v/>
      </c>
    </row>
    <row r="435">
      <c r="A435" t="inlineStr">
        <is>
          <t>axle 11, left=0</t>
        </is>
      </c>
      <c r="B435" s="13">
        <f>half_B-$B$389</f>
        <v/>
      </c>
      <c r="C435" s="12">
        <f>SUMPRODUCT($E$379:$E$390*(((((($B435+$B$379:$B$390+half_B)+B_ext-ABS(($B435+$B$379:$B$390+half_B)-B_ext))/2)-((($B435+$B$379:$B$390-half_B)+ABS(($B435+$B$379:$B$390-half_B)))/2))+ABS((((($B435+$B$379:$B$390+half_B)+B_ext-ABS(($B435+$B$379:$B$390+half_B)-B_ext))/2)-((($B435+$B$379:$B$390-half_B)+ABS(($B435+$B$379:$B$390-half_B)))/2))))/2))/disp_B/disp_LL</f>
        <v/>
      </c>
    </row>
    <row r="436">
      <c r="A436" t="inlineStr">
        <is>
          <t>axle 11, left=B_ext</t>
        </is>
      </c>
      <c r="B436" s="13">
        <f>B_ext+half_B-$B$389</f>
        <v/>
      </c>
      <c r="C436" s="12">
        <f>SUMPRODUCT($E$379:$E$390*(((((($B436+$B$379:$B$390+half_B)+B_ext-ABS(($B436+$B$379:$B$390+half_B)-B_ext))/2)-((($B436+$B$379:$B$390-half_B)+ABS(($B436+$B$379:$B$390-half_B)))/2))+ABS((((($B436+$B$379:$B$390+half_B)+B_ext-ABS(($B436+$B$379:$B$390+half_B)-B_ext))/2)-((($B436+$B$379:$B$390-half_B)+ABS(($B436+$B$379:$B$390-half_B)))/2))))/2))/disp_B/disp_LL</f>
        <v/>
      </c>
    </row>
    <row r="437">
      <c r="A437" t="inlineStr">
        <is>
          <t>axle 12, right=0</t>
        </is>
      </c>
      <c r="B437" s="13">
        <f>-half_B-$B$390</f>
        <v/>
      </c>
      <c r="C437" s="12">
        <f>SUMPRODUCT($E$379:$E$390*(((((($B437+$B$379:$B$390+half_B)+B_ext-ABS(($B437+$B$379:$B$390+half_B)-B_ext))/2)-((($B437+$B$379:$B$390-half_B)+ABS(($B437+$B$379:$B$390-half_B)))/2))+ABS((((($B437+$B$379:$B$390+half_B)+B_ext-ABS(($B437+$B$379:$B$390+half_B)-B_ext))/2)-((($B437+$B$379:$B$390-half_B)+ABS(($B437+$B$379:$B$390-half_B)))/2))))/2))/disp_B/disp_LL</f>
        <v/>
      </c>
    </row>
    <row r="438">
      <c r="A438" t="inlineStr">
        <is>
          <t>axle 12, right=B_ext</t>
        </is>
      </c>
      <c r="B438" s="13">
        <f>B_ext-half_B-$B$390</f>
        <v/>
      </c>
      <c r="C438" s="12">
        <f>SUMPRODUCT($E$379:$E$390*(((((($B438+$B$379:$B$390+half_B)+B_ext-ABS(($B438+$B$379:$B$390+half_B)-B_ext))/2)-((($B438+$B$379:$B$390-half_B)+ABS(($B438+$B$379:$B$390-half_B)))/2))+ABS((((($B438+$B$379:$B$390+half_B)+B_ext-ABS(($B438+$B$379:$B$390+half_B)-B_ext))/2)-((($B438+$B$379:$B$390-half_B)+ABS(($B438+$B$379:$B$390-half_B)))/2))))/2))/disp_B/disp_LL</f>
        <v/>
      </c>
    </row>
    <row r="439">
      <c r="A439" t="inlineStr">
        <is>
          <t>axle 12, left=0</t>
        </is>
      </c>
      <c r="B439" s="13">
        <f>half_B-$B$390</f>
        <v/>
      </c>
      <c r="C439" s="12">
        <f>SUMPRODUCT($E$379:$E$390*(((((($B439+$B$379:$B$390+half_B)+B_ext-ABS(($B439+$B$379:$B$390+half_B)-B_ext))/2)-((($B439+$B$379:$B$390-half_B)+ABS(($B439+$B$379:$B$390-half_B)))/2))+ABS((((($B439+$B$379:$B$390+half_B)+B_ext-ABS(($B439+$B$379:$B$390+half_B)-B_ext))/2)-((($B439+$B$379:$B$390-half_B)+ABS(($B439+$B$379:$B$390-half_B)))/2))))/2))/disp_B/disp_LL</f>
        <v/>
      </c>
    </row>
    <row r="440">
      <c r="A440" t="inlineStr">
        <is>
          <t>axle 12, left=B_ext</t>
        </is>
      </c>
      <c r="B440" s="13">
        <f>B_ext+half_B-$B$390</f>
        <v/>
      </c>
      <c r="C440" s="12">
        <f>SUMPRODUCT($E$379:$E$390*(((((($B440+$B$379:$B$390+half_B)+B_ext-ABS(($B440+$B$379:$B$390+half_B)-B_ext))/2)-((($B440+$B$379:$B$390-half_B)+ABS(($B440+$B$379:$B$390-half_B)))/2))+ABS((((($B440+$B$379:$B$390+half_B)+B_ext-ABS(($B440+$B$379:$B$390+half_B)-B_ext))/2)-((($B440+$B$379:$B$390-half_B)+ABS(($B440+$B$379:$B$390-half_B)))/2))))/2))/disp_B/disp_LL</f>
        <v/>
      </c>
    </row>
    <row r="442">
      <c r="A442" t="inlineStr">
        <is>
          <t>SV196 block max, gap=9.0m (kN/m)</t>
        </is>
      </c>
      <c r="B442" s="12">
        <f>MAX(C393:C440)</f>
        <v/>
      </c>
    </row>
    <row r="444">
      <c r="A444" t="inlineStr">
        <is>
          <t>SV196 governing (max over all 3 gaps), kN/m</t>
        </is>
      </c>
      <c r="B444" s="12">
        <f>MAX('LM3'!$B$308,'LM3'!$B$375,'LM3'!$B$442)</f>
        <v/>
      </c>
    </row>
    <row r="446">
      <c r="A446" s="3" t="inlineStr">
        <is>
          <t>Selected Vehicle Result</t>
        </is>
      </c>
      <c r="B446" s="4" t="n"/>
      <c r="C446" s="4" t="n"/>
      <c r="D446" s="4" t="n"/>
      <c r="E446" s="4" t="n"/>
      <c r="F446" s="4" t="n"/>
    </row>
    <row r="447">
      <c r="A447" t="inlineStr">
        <is>
          <t>max_V_per_m — selected by Inputs!sv_vehicle (kN/m)</t>
        </is>
      </c>
      <c r="B447" s="12">
        <f>IF(sv_vehicle="SV80",sv80_max,IF(sv_vehicle="SV100",sv100_max,sv196_max))</f>
        <v/>
      </c>
    </row>
    <row r="449">
      <c r="A449" s="3" t="inlineStr">
        <is>
          <t>Braking and Acceleration Forces</t>
        </is>
      </c>
      <c r="B449" s="4" t="n"/>
      <c r="C449" s="4" t="n"/>
      <c r="D449" s="4" t="n"/>
      <c r="E449" s="4" t="n"/>
      <c r="F449" s="4" t="n"/>
    </row>
    <row r="450">
      <c r="A450" t="inlineStr">
        <is>
          <t>Braking coefficient delta (SV80=0.50, SV100=0.40, SV196=0.25)</t>
        </is>
      </c>
      <c r="B450" s="12">
        <f>IF(sv_vehicle="SV80",0.5,IF(sv_vehicle="SV100",0.4,0.25))</f>
        <v/>
      </c>
    </row>
    <row r="451">
      <c r="A451" t="inlineStr">
        <is>
          <t>Basic axle load w for braking (SV80=130, SV100=165, SV196=165, heaviest common group) (kN)</t>
        </is>
      </c>
      <c r="B451" s="11">
        <f>IF(sv_vehicle="SV80",130,165)</f>
        <v/>
      </c>
    </row>
    <row r="452">
      <c r="A452" s="10" t="inlineStr">
        <is>
          <t>Total braking force = delta x (sum of basic axle loads) — see Assumptions for the exact per-vehicle axle grouping this simplifies (SV80/SV100: 6 axles at one basic load; SV196: 9 axles at 165kN plus 2 at 180kN plus 1 at 100kN, all at delta=0.25).</t>
        </is>
      </c>
    </row>
    <row r="453">
      <c r="A453" t="inlineStr">
        <is>
          <t>Total braking force (kN)</t>
        </is>
      </c>
      <c r="B453" s="12">
        <f>IF(sv_vehicle="SV196", 0.25*(9*165+2*180+1*100), B450*6*B451)</f>
        <v/>
      </c>
    </row>
    <row r="454">
      <c r="A454" t="inlineStr">
        <is>
          <t>Q_brk_per_m = total_braking / L_L (kN/m)</t>
        </is>
      </c>
      <c r="B454" s="12">
        <f>B453/L_L</f>
        <v/>
      </c>
    </row>
    <row r="455">
      <c r="A455" t="inlineStr">
        <is>
          <t>Vertical load from fill above culvert = UDL_total * B_ext (kN)</t>
        </is>
      </c>
      <c r="B455" s="12">
        <f>UDL_total*B_ext</f>
        <v/>
      </c>
    </row>
    <row r="456">
      <c r="A456" t="inlineStr">
        <is>
          <t>Max friction = (max_V_per_m + fill_vertical) * tan30 (kN)</t>
        </is>
      </c>
      <c r="B456" s="12">
        <f>(max_V_per_m+B455)*lm3_tan_30</f>
        <v/>
      </c>
    </row>
    <row r="457">
      <c r="A457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03864"/>
    <outlinePr summaryBelow="1" summaryRight="1"/>
    <pageSetUpPr/>
  </sheetPr>
  <dimension ref="A1:F255"/>
  <sheetViews>
    <sheetView showGridLines="0" tabSelected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16" customWidth="1" min="2" max="2"/>
  </cols>
  <sheetData>
    <row r="1" ht="20" customHeight="1">
      <c r="A1" s="1" t="inlineStr">
        <is>
          <t>Table B.4 — Sliding &amp; Overturning (Maximum Vertical)</t>
        </is>
      </c>
      <c r="B1" s="2" t="n"/>
      <c r="C1" s="2" t="n"/>
      <c r="D1" s="2" t="n"/>
      <c r="E1" s="2" t="n"/>
      <c r="F1" s="2" t="n"/>
    </row>
    <row r="3">
      <c r="A3" s="10" t="inlineStr">
        <is>
          <t>Sliding and overturning, LM1 and LM3, all four limit states — the smaller margin governs.</t>
        </is>
      </c>
    </row>
    <row r="5" ht="20" customHeight="1">
      <c r="A5" s="1" t="inlineStr">
        <is>
          <t>Sliding &amp; Overturning at SLS</t>
        </is>
      </c>
      <c r="B5" s="2" t="n"/>
    </row>
    <row r="7">
      <c r="A7" s="3" t="inlineStr">
        <is>
          <t>Common Terms — SLS (unfavourable/max)</t>
        </is>
      </c>
      <c r="B7" s="4" t="n"/>
      <c r="C7" s="4" t="n"/>
      <c r="D7" s="4" t="n"/>
      <c r="E7" s="4" t="n"/>
      <c r="F7" s="4" t="n"/>
    </row>
    <row r="8">
      <c r="A8" t="inlineStr">
        <is>
          <t>road_udl_char = UDL_1 (kN/m)</t>
        </is>
      </c>
      <c r="B8" s="12">
        <f>UDL_1</f>
        <v/>
      </c>
    </row>
    <row r="9">
      <c r="A9" t="inlineStr">
        <is>
          <t>fill_udl_char = UDL_total - UDL_1 (kN/m)</t>
        </is>
      </c>
      <c r="B9" s="12">
        <f>UDL_total-UDL_1</f>
        <v/>
      </c>
    </row>
    <row r="10">
      <c r="A10" t="inlineStr">
        <is>
          <t>surcharge_road = road_dev * road_udl_char (kN/m)</t>
        </is>
      </c>
      <c r="B10" s="12">
        <f>road_dev_unfav*B8</f>
        <v/>
      </c>
    </row>
    <row r="11">
      <c r="A11" t="inlineStr">
        <is>
          <t>active_surcharge = Ka_earth*gamma_super*(surcharge_road+fill_udl_char)*H_ext (kN)</t>
        </is>
      </c>
      <c r="B11" s="12">
        <f>Ka_earth_SLS*Superimposed_sup_SLS*(B10+B9)*H_ext</f>
        <v/>
      </c>
    </row>
    <row r="12">
      <c r="A12" t="inlineStr">
        <is>
          <t>passive_surcharge = Kmax*gamma_super*(surcharge_road+fill_udl_char)*H_ext (kN)</t>
        </is>
      </c>
      <c r="B12" s="12">
        <f>Kmax_SLS*Superimposed_sup_SLS*(B10+B9)*H_ext</f>
        <v/>
      </c>
    </row>
    <row r="13">
      <c r="A13" t="inlineStr">
        <is>
          <t>backfill_pressure = gamma_backfill * H_ext (kN/m2)</t>
        </is>
      </c>
      <c r="B13" s="12">
        <f>gamma_backfill*H_ext</f>
        <v/>
      </c>
    </row>
    <row r="14">
      <c r="A14" t="inlineStr">
        <is>
          <t>active_backfill = Ka_earth*gamma_self*backfill_pressure*H_ext/2 (kN)</t>
        </is>
      </c>
      <c r="B14" s="12">
        <f>Ka_earth_SLS*SelfWeight_sup_SLS*B13*H_ext/2</f>
        <v/>
      </c>
    </row>
    <row r="15">
      <c r="A15" t="inlineStr">
        <is>
          <t>passive_backfill = Kmax*gamma_self*backfill_pressure*H_ext/2 (kN)</t>
        </is>
      </c>
      <c r="B15" s="12">
        <f>Kmax_SLS*SelfWeight_sup_SLS*B13*H_ext/2</f>
        <v/>
      </c>
    </row>
    <row r="16">
      <c r="A16" t="inlineStr">
        <is>
          <t>total_passive = passive_surcharge + passive_backfill (kN)</t>
        </is>
      </c>
      <c r="B16" s="12">
        <f>B12+B15</f>
        <v/>
      </c>
    </row>
    <row r="17">
      <c r="A17" t="inlineStr">
        <is>
          <t>road_vertical = gamma_super * gamma_sd_ec * road_dev * road_udl_char * B_ext (kN)</t>
        </is>
      </c>
      <c r="B17" s="12">
        <f>Superimposed_sup_SLS*gamma_sd_ec*road_dev_unfav*B8*B_ext</f>
        <v/>
      </c>
    </row>
    <row r="18">
      <c r="A18" t="inlineStr">
        <is>
          <t>fill_vertical = gamma_super * gamma_sd_ec * fill_udl_char * B_ext (kN)</t>
        </is>
      </c>
      <c r="B18" s="12">
        <f>Superimposed_sup_SLS*gamma_sd_ec*B9*B_ext</f>
        <v/>
      </c>
    </row>
    <row r="19">
      <c r="A19" t="inlineStr">
        <is>
          <t>self_weight_vertical = gamma_self * W_box (kN)</t>
        </is>
      </c>
      <c r="B19" s="12">
        <f>SelfWeight_sup_SLS*W_box</f>
        <v/>
      </c>
    </row>
    <row r="20">
      <c r="A20" t="inlineStr">
        <is>
          <t>common_vertical = road_vertical + fill_vertical + self_weight_vertical (kN)</t>
        </is>
      </c>
      <c r="B20" s="12">
        <f>B17+B18+B19</f>
        <v/>
      </c>
    </row>
    <row r="21">
      <c r="A21" s="3" t="inlineStr">
        <is>
          <t>LM1 Scenario — SLS</t>
        </is>
      </c>
      <c r="B21" s="4" t="n"/>
      <c r="C21" s="4" t="n"/>
      <c r="D21" s="4" t="n"/>
      <c r="E21" s="4" t="n"/>
      <c r="F21" s="4" t="n"/>
    </row>
    <row r="22">
      <c r="A22" t="inlineStr">
        <is>
          <t>active_line_load = Ka_traffic*gamma_Q*F_hll_1m_coeff (kN)</t>
        </is>
      </c>
      <c r="B22" s="12">
        <f>Ka_traffic_SLS*RoadTraffic_sup_SLS*F_hll_1m_coeff</f>
        <v/>
      </c>
    </row>
    <row r="23">
      <c r="A23" t="inlineStr">
        <is>
          <t>active_udl = Ka_traffic*gamma_Q*20*H_ext (kN)</t>
        </is>
      </c>
      <c r="B23" s="12">
        <f>Ka_traffic_SLS*RoadTraffic_sup_SLS*20.0*H_ext</f>
        <v/>
      </c>
    </row>
    <row r="24">
      <c r="A24" t="inlineStr">
        <is>
          <t>braking_char (kN)</t>
        </is>
      </c>
      <c r="B24" s="12">
        <f>Q_lk/L_L</f>
        <v/>
      </c>
    </row>
    <row r="25">
      <c r="A25" t="inlineStr">
        <is>
          <t>braking = gamma_Q * braking_char (kN)</t>
        </is>
      </c>
      <c r="B25" s="12">
        <f>RoadTraffic_sup_SLS*B24</f>
        <v/>
      </c>
    </row>
    <row r="26">
      <c r="A26" t="inlineStr">
        <is>
          <t>total_active = active_surcharge+active_backfill+active_line_load+active_udl+braking (kN)</t>
        </is>
      </c>
      <c r="B26" s="12">
        <f>B11+B14+B22+B23+B25</f>
        <v/>
      </c>
    </row>
    <row r="27">
      <c r="A27" t="inlineStr">
        <is>
          <t>vertical_char (kN)</t>
        </is>
      </c>
      <c r="B27" s="12">
        <f>lane1_udl*B_ext+patch_load*disp_m*2</f>
        <v/>
      </c>
    </row>
    <row r="28">
      <c r="A28" t="inlineStr">
        <is>
          <t>vertical = gamma_Q * vertical_char (kN)</t>
        </is>
      </c>
      <c r="B28" s="12">
        <f>RoadTraffic_sup_SLS*B27</f>
        <v/>
      </c>
    </row>
    <row r="29">
      <c r="A29" t="inlineStr">
        <is>
          <t>V_d = common_vertical + vertical (kN)</t>
        </is>
      </c>
      <c r="B29" s="12">
        <f>B20+B28</f>
        <v/>
      </c>
    </row>
    <row r="30">
      <c r="A30" t="inlineStr">
        <is>
          <t>delta_d = ATAN(TAN(RADIANS(phi_founding))/gamma_M) (deg)</t>
        </is>
      </c>
      <c r="B30" s="12">
        <f>DEGREES(ATAN(TAN(RADIANS(phi_founding))/MaterialM_SLS))</f>
        <v/>
      </c>
    </row>
    <row r="31">
      <c r="A31" t="inlineStr">
        <is>
          <t>max_Rd = V_d * TAN(RADIANS(delta_d)) (kN)</t>
        </is>
      </c>
      <c r="B31" s="12">
        <f>B29*TAN(RADIANS(B30))</f>
        <v/>
      </c>
    </row>
    <row r="32">
      <c r="A32" t="inlineStr">
        <is>
          <t>friction_required = total_active - total_passive (kN)</t>
        </is>
      </c>
      <c r="B32" s="12">
        <f>B26-B16</f>
        <v/>
      </c>
    </row>
    <row r="33">
      <c r="A33" t="inlineStr">
        <is>
          <t>SLIDING margin = max_Rd - friction_required (kN)</t>
        </is>
      </c>
      <c r="B33" s="12">
        <f>B31-B32</f>
        <v/>
      </c>
    </row>
    <row r="34">
      <c r="A34" t="inlineStr">
        <is>
          <t>Sliding OK? (margin &gt;= 0)</t>
        </is>
      </c>
      <c r="B34">
        <f>B33&gt;=0</f>
        <v/>
      </c>
    </row>
    <row r="35">
      <c r="A35" t="inlineStr">
        <is>
          <t>UR_sliding = MAX(0,friction_required)/max_Rd (%)</t>
        </is>
      </c>
      <c r="B35" s="11">
        <f>MAX(0,B32)/B31*100</f>
        <v/>
      </c>
    </row>
    <row r="36">
      <c r="A36" t="inlineStr">
        <is>
          <t>M_active = act_surch*(H_ext/2)+act_bkfl*(H_ext/3)+line_load*H_ext+udl*(H_ext/2)+braking*H_ext (kNm)</t>
        </is>
      </c>
      <c r="B36" s="12">
        <f>B11*(H_ext/2)+B14*(H_ext/3)+B22*H_ext+B23*(H_ext/2)+B25*H_ext</f>
        <v/>
      </c>
    </row>
    <row r="37">
      <c r="A37" t="inlineStr">
        <is>
          <t>M_passive = pass_surch*(H_ext/2) + pass_bkfl*(H_ext/3) (kNm)</t>
        </is>
      </c>
      <c r="B37" s="12">
        <f>B12*(H_ext/2)+B15*(H_ext/3)</f>
        <v/>
      </c>
    </row>
    <row r="38">
      <c r="A38" t="inlineStr">
        <is>
          <t>M_driving = MAX(0, M_active - M_passive) (kNm)</t>
        </is>
      </c>
      <c r="B38" s="12">
        <f>MAX(0,B36-B37)</f>
        <v/>
      </c>
    </row>
    <row r="39">
      <c r="A39" t="inlineStr">
        <is>
          <t>M_stabilizing = V_d * B_ext/2 (kNm)</t>
        </is>
      </c>
      <c r="B39" s="12">
        <f>B29*B_ext/2</f>
        <v/>
      </c>
    </row>
    <row r="40">
      <c r="A40" t="inlineStr">
        <is>
          <t>OVERTURNING margin = M_stabilizing - M_driving (kNm)</t>
        </is>
      </c>
      <c r="B40" s="12">
        <f>B39-B38</f>
        <v/>
      </c>
    </row>
    <row r="41">
      <c r="A41" t="inlineStr">
        <is>
          <t>Overturning OK? (ot_margin &gt;= 0)</t>
        </is>
      </c>
      <c r="B41">
        <f>B40&gt;=0</f>
        <v/>
      </c>
    </row>
    <row r="42">
      <c r="A42" t="inlineStr">
        <is>
          <t>UR_overturning = MAX(0,M_driving)/M_stabilizing (%)</t>
        </is>
      </c>
      <c r="B42" s="11">
        <f>MAX(0,B38)/B39*100</f>
        <v/>
      </c>
    </row>
    <row r="43">
      <c r="A43" s="3" t="inlineStr">
        <is>
          <t>LM3 Scenario — SLS</t>
        </is>
      </c>
      <c r="B43" s="4" t="n"/>
      <c r="C43" s="4" t="n"/>
      <c r="D43" s="4" t="n"/>
      <c r="E43" s="4" t="n"/>
      <c r="F43" s="4" t="n"/>
    </row>
    <row r="44">
      <c r="A44" t="inlineStr">
        <is>
          <t>active_line_load = Ka_traffic*gamma_Q*F_hll_1m_coeff (kN)</t>
        </is>
      </c>
      <c r="B44" s="12">
        <f>Ka_traffic_SLS*RoadTraffic_sup_SLS*F_hll_1m_coeff</f>
        <v/>
      </c>
    </row>
    <row r="45">
      <c r="A45" t="inlineStr">
        <is>
          <t>active_udl = Ka_traffic*gamma_Q*30*H_ext (kN)</t>
        </is>
      </c>
      <c r="B45" s="12">
        <f>Ka_traffic_SLS*RoadTraffic_sup_SLS*30.0*H_ext</f>
        <v/>
      </c>
    </row>
    <row r="46">
      <c r="A46" t="inlineStr">
        <is>
          <t>braking_char (kN)</t>
        </is>
      </c>
      <c r="B46" s="12">
        <f>Q_brk_per_m</f>
        <v/>
      </c>
    </row>
    <row r="47">
      <c r="A47" t="inlineStr">
        <is>
          <t>braking = gamma_Q * braking_char (kN)</t>
        </is>
      </c>
      <c r="B47" s="12">
        <f>RoadTraffic_sup_SLS*B46</f>
        <v/>
      </c>
    </row>
    <row r="48">
      <c r="A48" t="inlineStr">
        <is>
          <t>total_active = active_surcharge+active_backfill+active_line_load+active_udl+braking (kN)</t>
        </is>
      </c>
      <c r="B48" s="12">
        <f>B11+B14+B44+B45+B47</f>
        <v/>
      </c>
    </row>
    <row r="49">
      <c r="A49" t="inlineStr">
        <is>
          <t>vertical_char (kN)</t>
        </is>
      </c>
      <c r="B49" s="12">
        <f>max_V_per_m</f>
        <v/>
      </c>
    </row>
    <row r="50">
      <c r="A50" t="inlineStr">
        <is>
          <t>vertical = gamma_Q * vertical_char (kN)</t>
        </is>
      </c>
      <c r="B50" s="12">
        <f>RoadTraffic_sup_SLS*B49</f>
        <v/>
      </c>
    </row>
    <row r="51">
      <c r="A51" t="inlineStr">
        <is>
          <t>V_d = common_vertical + vertical (kN)</t>
        </is>
      </c>
      <c r="B51" s="12">
        <f>B20+B50</f>
        <v/>
      </c>
    </row>
    <row r="52">
      <c r="A52" t="inlineStr">
        <is>
          <t>delta_d = ATAN(TAN(RADIANS(phi_founding))/gamma_M) (deg)</t>
        </is>
      </c>
      <c r="B52" s="12">
        <f>DEGREES(ATAN(TAN(RADIANS(phi_founding))/MaterialM_SLS))</f>
        <v/>
      </c>
    </row>
    <row r="53">
      <c r="A53" t="inlineStr">
        <is>
          <t>max_Rd = V_d * TAN(RADIANS(delta_d)) (kN)</t>
        </is>
      </c>
      <c r="B53" s="12">
        <f>B51*TAN(RADIANS(B52))</f>
        <v/>
      </c>
    </row>
    <row r="54">
      <c r="A54" t="inlineStr">
        <is>
          <t>friction_required = total_active - total_passive (kN)</t>
        </is>
      </c>
      <c r="B54" s="12">
        <f>B48-B16</f>
        <v/>
      </c>
    </row>
    <row r="55">
      <c r="A55" t="inlineStr">
        <is>
          <t>SLIDING margin = max_Rd - friction_required (kN)</t>
        </is>
      </c>
      <c r="B55" s="12">
        <f>B53-B54</f>
        <v/>
      </c>
    </row>
    <row r="56">
      <c r="A56" t="inlineStr">
        <is>
          <t>Sliding OK? (margin &gt;= 0)</t>
        </is>
      </c>
      <c r="B56">
        <f>B55&gt;=0</f>
        <v/>
      </c>
    </row>
    <row r="57">
      <c r="A57" t="inlineStr">
        <is>
          <t>UR_sliding = MAX(0,friction_required)/max_Rd (%)</t>
        </is>
      </c>
      <c r="B57" s="11">
        <f>MAX(0,B54)/B53*100</f>
        <v/>
      </c>
    </row>
    <row r="58">
      <c r="A58" t="inlineStr">
        <is>
          <t>M_active = act_surch*(H_ext/2)+act_bkfl*(H_ext/3)+line_load*H_ext+udl*(H_ext/2)+braking*H_ext (kNm)</t>
        </is>
      </c>
      <c r="B58" s="12">
        <f>B11*(H_ext/2)+B14*(H_ext/3)+B44*H_ext+B45*(H_ext/2)+B47*H_ext</f>
        <v/>
      </c>
    </row>
    <row r="59">
      <c r="A59" t="inlineStr">
        <is>
          <t>M_passive = pass_surch*(H_ext/2) + pass_bkfl*(H_ext/3) (kNm)</t>
        </is>
      </c>
      <c r="B59" s="12">
        <f>B12*(H_ext/2)+B15*(H_ext/3)</f>
        <v/>
      </c>
    </row>
    <row r="60">
      <c r="A60" t="inlineStr">
        <is>
          <t>M_driving = MAX(0, M_active - M_passive) (kNm)</t>
        </is>
      </c>
      <c r="B60" s="12">
        <f>MAX(0,B58-B59)</f>
        <v/>
      </c>
    </row>
    <row r="61">
      <c r="A61" t="inlineStr">
        <is>
          <t>M_stabilizing = V_d * B_ext/2 (kNm)</t>
        </is>
      </c>
      <c r="B61" s="12">
        <f>B51*B_ext/2</f>
        <v/>
      </c>
    </row>
    <row r="62">
      <c r="A62" t="inlineStr">
        <is>
          <t>OVERTURNING margin = M_stabilizing - M_driving (kNm)</t>
        </is>
      </c>
      <c r="B62" s="12">
        <f>B61-B60</f>
        <v/>
      </c>
    </row>
    <row r="63">
      <c r="A63" t="inlineStr">
        <is>
          <t>Overturning OK? (ot_margin &gt;= 0)</t>
        </is>
      </c>
      <c r="B63">
        <f>B62&gt;=0</f>
        <v/>
      </c>
    </row>
    <row r="64">
      <c r="A64" t="inlineStr">
        <is>
          <t>UR_overturning = MAX(0,M_driving)/M_stabilizing (%)</t>
        </is>
      </c>
      <c r="B64" s="11">
        <f>MAX(0,B60)/B61*100</f>
        <v/>
      </c>
    </row>
    <row r="65">
      <c r="A65" t="inlineStr">
        <is>
          <t>Governing (sliding) — LM1 if its margin is smaller</t>
        </is>
      </c>
      <c r="B65">
        <f>IF(B33&lt;B55,"LM1","LM3")</f>
        <v/>
      </c>
    </row>
    <row r="66">
      <c r="A66" t="inlineStr">
        <is>
          <t>Governing (overturning) — LM1 if its margin is smaller</t>
        </is>
      </c>
      <c r="B66">
        <f>IF(B40&lt;B62,"LM1","LM3")</f>
        <v/>
      </c>
    </row>
    <row r="68" ht="20" customHeight="1">
      <c r="A68" s="1" t="inlineStr">
        <is>
          <t>Sliding &amp; Overturning at EQU</t>
        </is>
      </c>
      <c r="B68" s="2" t="n"/>
    </row>
    <row r="70">
      <c r="A70" s="3" t="inlineStr">
        <is>
          <t>Common Terms — EQU (unfavourable/max)</t>
        </is>
      </c>
      <c r="B70" s="4" t="n"/>
      <c r="C70" s="4" t="n"/>
      <c r="D70" s="4" t="n"/>
      <c r="E70" s="4" t="n"/>
      <c r="F70" s="4" t="n"/>
    </row>
    <row r="71">
      <c r="A71" t="inlineStr">
        <is>
          <t>road_udl_char = UDL_1 (kN/m)</t>
        </is>
      </c>
      <c r="B71" s="12">
        <f>UDL_1</f>
        <v/>
      </c>
    </row>
    <row r="72">
      <c r="A72" t="inlineStr">
        <is>
          <t>fill_udl_char = UDL_total - UDL_1 (kN/m)</t>
        </is>
      </c>
      <c r="B72" s="12">
        <f>UDL_total-UDL_1</f>
        <v/>
      </c>
    </row>
    <row r="73">
      <c r="A73" t="inlineStr">
        <is>
          <t>surcharge_road = road_dev * road_udl_char (kN/m)</t>
        </is>
      </c>
      <c r="B73" s="12">
        <f>road_dev_unfav*B71</f>
        <v/>
      </c>
    </row>
    <row r="74">
      <c r="A74" t="inlineStr">
        <is>
          <t>active_surcharge = Ka_earth*gamma_super*(surcharge_road+fill_udl_char)*H_ext (kN)</t>
        </is>
      </c>
      <c r="B74" s="12">
        <f>Ka_earth_EQU*Superimposed_sup_EQU*(B73+B72)*H_ext</f>
        <v/>
      </c>
    </row>
    <row r="75">
      <c r="A75" t="inlineStr">
        <is>
          <t>passive_surcharge = Kmax*gamma_super*(surcharge_road+fill_udl_char)*H_ext (kN)</t>
        </is>
      </c>
      <c r="B75" s="12">
        <f>Kmax_EQU*Superimposed_sup_EQU*(B73+B72)*H_ext</f>
        <v/>
      </c>
    </row>
    <row r="76">
      <c r="A76" t="inlineStr">
        <is>
          <t>backfill_pressure = gamma_backfill * H_ext (kN/m2)</t>
        </is>
      </c>
      <c r="B76" s="12">
        <f>gamma_backfill*H_ext</f>
        <v/>
      </c>
    </row>
    <row r="77">
      <c r="A77" t="inlineStr">
        <is>
          <t>active_backfill = Ka_earth*gamma_self*backfill_pressure*H_ext/2 (kN)</t>
        </is>
      </c>
      <c r="B77" s="12">
        <f>Ka_earth_EQU*SelfWeight_sup_EQU*B76*H_ext/2</f>
        <v/>
      </c>
    </row>
    <row r="78">
      <c r="A78" t="inlineStr">
        <is>
          <t>passive_backfill = Kmax*gamma_self*backfill_pressure*H_ext/2 (kN)</t>
        </is>
      </c>
      <c r="B78" s="12">
        <f>Kmax_EQU*SelfWeight_sup_EQU*B76*H_ext/2</f>
        <v/>
      </c>
    </row>
    <row r="79">
      <c r="A79" t="inlineStr">
        <is>
          <t>total_passive = passive_surcharge + passive_backfill (kN)</t>
        </is>
      </c>
      <c r="B79" s="12">
        <f>B75+B78</f>
        <v/>
      </c>
    </row>
    <row r="80">
      <c r="A80" t="inlineStr">
        <is>
          <t>road_vertical = gamma_super * gamma_sd_ec * road_dev * road_udl_char * B_ext (kN)</t>
        </is>
      </c>
      <c r="B80" s="12">
        <f>Superimposed_sup_EQU*gamma_sd_ec*road_dev_unfav*B71*B_ext</f>
        <v/>
      </c>
    </row>
    <row r="81">
      <c r="A81" t="inlineStr">
        <is>
          <t>fill_vertical = gamma_super * gamma_sd_ec * fill_udl_char * B_ext (kN)</t>
        </is>
      </c>
      <c r="B81" s="12">
        <f>Superimposed_sup_EQU*gamma_sd_ec*B72*B_ext</f>
        <v/>
      </c>
    </row>
    <row r="82">
      <c r="A82" t="inlineStr">
        <is>
          <t>self_weight_vertical = gamma_self * W_box (kN)</t>
        </is>
      </c>
      <c r="B82" s="12">
        <f>SelfWeight_sup_EQU*W_box</f>
        <v/>
      </c>
    </row>
    <row r="83">
      <c r="A83" t="inlineStr">
        <is>
          <t>common_vertical = road_vertical + fill_vertical + self_weight_vertical (kN)</t>
        </is>
      </c>
      <c r="B83" s="12">
        <f>B80+B81+B82</f>
        <v/>
      </c>
    </row>
    <row r="84">
      <c r="A84" s="3" t="inlineStr">
        <is>
          <t>LM1 Scenario — EQU</t>
        </is>
      </c>
      <c r="B84" s="4" t="n"/>
      <c r="C84" s="4" t="n"/>
      <c r="D84" s="4" t="n"/>
      <c r="E84" s="4" t="n"/>
      <c r="F84" s="4" t="n"/>
    </row>
    <row r="85">
      <c r="A85" t="inlineStr">
        <is>
          <t>active_line_load = Ka_traffic*gamma_Q*F_hll_1m_coeff (kN)</t>
        </is>
      </c>
      <c r="B85" s="12">
        <f>Ka_traffic_EQU*RoadTraffic_sup_EQU*F_hll_1m_coeff</f>
        <v/>
      </c>
    </row>
    <row r="86">
      <c r="A86" t="inlineStr">
        <is>
          <t>active_udl = Ka_traffic*gamma_Q*20*H_ext (kN)</t>
        </is>
      </c>
      <c r="B86" s="12">
        <f>Ka_traffic_EQU*RoadTraffic_sup_EQU*20.0*H_ext</f>
        <v/>
      </c>
    </row>
    <row r="87">
      <c r="A87" t="inlineStr">
        <is>
          <t>braking_char (kN)</t>
        </is>
      </c>
      <c r="B87" s="12">
        <f>Q_lk/L_L</f>
        <v/>
      </c>
    </row>
    <row r="88">
      <c r="A88" t="inlineStr">
        <is>
          <t>braking = gamma_Q * braking_char (kN)</t>
        </is>
      </c>
      <c r="B88" s="12">
        <f>RoadTraffic_sup_EQU*B87</f>
        <v/>
      </c>
    </row>
    <row r="89">
      <c r="A89" t="inlineStr">
        <is>
          <t>total_active = active_surcharge+active_backfill+active_line_load+active_udl+braking (kN)</t>
        </is>
      </c>
      <c r="B89" s="12">
        <f>B74+B77+B85+B86+B88</f>
        <v/>
      </c>
    </row>
    <row r="90">
      <c r="A90" t="inlineStr">
        <is>
          <t>vertical_char (kN)</t>
        </is>
      </c>
      <c r="B90" s="12">
        <f>lane1_udl*B_ext+patch_load*disp_m*2</f>
        <v/>
      </c>
    </row>
    <row r="91">
      <c r="A91" t="inlineStr">
        <is>
          <t>vertical = gamma_Q * vertical_char (kN)</t>
        </is>
      </c>
      <c r="B91" s="12">
        <f>RoadTraffic_sup_EQU*B90</f>
        <v/>
      </c>
    </row>
    <row r="92">
      <c r="A92" t="inlineStr">
        <is>
          <t>V_d = common_vertical + vertical (kN)</t>
        </is>
      </c>
      <c r="B92" s="12">
        <f>B83+B91</f>
        <v/>
      </c>
    </row>
    <row r="93">
      <c r="A93" t="inlineStr">
        <is>
          <t>delta_d = ATAN(TAN(RADIANS(phi_founding))/gamma_M) (deg)</t>
        </is>
      </c>
      <c r="B93" s="12">
        <f>DEGREES(ATAN(TAN(RADIANS(phi_founding))/MaterialM_EQU))</f>
        <v/>
      </c>
    </row>
    <row r="94">
      <c r="A94" t="inlineStr">
        <is>
          <t>max_Rd = V_d * TAN(RADIANS(delta_d)) (kN)</t>
        </is>
      </c>
      <c r="B94" s="12">
        <f>B92*TAN(RADIANS(B93))</f>
        <v/>
      </c>
    </row>
    <row r="95">
      <c r="A95" t="inlineStr">
        <is>
          <t>friction_required = total_active - total_passive (kN)</t>
        </is>
      </c>
      <c r="B95" s="12">
        <f>B89-B79</f>
        <v/>
      </c>
    </row>
    <row r="96">
      <c r="A96" t="inlineStr">
        <is>
          <t>SLIDING margin = max_Rd - friction_required (kN)</t>
        </is>
      </c>
      <c r="B96" s="12">
        <f>B94-B95</f>
        <v/>
      </c>
    </row>
    <row r="97">
      <c r="A97" t="inlineStr">
        <is>
          <t>Sliding OK? (margin &gt;= 0)</t>
        </is>
      </c>
      <c r="B97">
        <f>B96&gt;=0</f>
        <v/>
      </c>
    </row>
    <row r="98">
      <c r="A98" t="inlineStr">
        <is>
          <t>UR_sliding = MAX(0,friction_required)/max_Rd (%)</t>
        </is>
      </c>
      <c r="B98" s="11">
        <f>MAX(0,B95)/B94*100</f>
        <v/>
      </c>
    </row>
    <row r="99">
      <c r="A99" t="inlineStr">
        <is>
          <t>M_active = act_surch*(H_ext/2)+act_bkfl*(H_ext/3)+line_load*H_ext+udl*(H_ext/2)+braking*H_ext (kNm)</t>
        </is>
      </c>
      <c r="B99" s="12">
        <f>B74*(H_ext/2)+B77*(H_ext/3)+B85*H_ext+B86*(H_ext/2)+B88*H_ext</f>
        <v/>
      </c>
    </row>
    <row r="100">
      <c r="A100" t="inlineStr">
        <is>
          <t>M_passive = pass_surch*(H_ext/2) + pass_bkfl*(H_ext/3) (kNm)</t>
        </is>
      </c>
      <c r="B100" s="12">
        <f>B75*(H_ext/2)+B78*(H_ext/3)</f>
        <v/>
      </c>
    </row>
    <row r="101">
      <c r="A101" t="inlineStr">
        <is>
          <t>M_driving = MAX(0, M_active - M_passive) (kNm)</t>
        </is>
      </c>
      <c r="B101" s="12">
        <f>MAX(0,B99-B100)</f>
        <v/>
      </c>
    </row>
    <row r="102">
      <c r="A102" t="inlineStr">
        <is>
          <t>M_stabilizing = V_d * B_ext/2 (kNm)</t>
        </is>
      </c>
      <c r="B102" s="12">
        <f>B92*B_ext/2</f>
        <v/>
      </c>
    </row>
    <row r="103">
      <c r="A103" t="inlineStr">
        <is>
          <t>OVERTURNING margin = M_stabilizing - M_driving (kNm)</t>
        </is>
      </c>
      <c r="B103" s="12">
        <f>B102-B101</f>
        <v/>
      </c>
    </row>
    <row r="104">
      <c r="A104" t="inlineStr">
        <is>
          <t>Overturning OK? (ot_margin &gt;= 0)</t>
        </is>
      </c>
      <c r="B104">
        <f>B103&gt;=0</f>
        <v/>
      </c>
    </row>
    <row r="105">
      <c r="A105" t="inlineStr">
        <is>
          <t>UR_overturning = MAX(0,M_driving)/M_stabilizing (%)</t>
        </is>
      </c>
      <c r="B105" s="11">
        <f>MAX(0,B101)/B102*100</f>
        <v/>
      </c>
    </row>
    <row r="106">
      <c r="A106" s="3" t="inlineStr">
        <is>
          <t>LM3 Scenario — EQU</t>
        </is>
      </c>
      <c r="B106" s="4" t="n"/>
      <c r="C106" s="4" t="n"/>
      <c r="D106" s="4" t="n"/>
      <c r="E106" s="4" t="n"/>
      <c r="F106" s="4" t="n"/>
    </row>
    <row r="107">
      <c r="A107" t="inlineStr">
        <is>
          <t>active_line_load = Ka_traffic*gamma_Q*F_hll_1m_coeff (kN)</t>
        </is>
      </c>
      <c r="B107" s="12">
        <f>Ka_traffic_EQU*RoadTraffic_sup_EQU*F_hll_1m_coeff</f>
        <v/>
      </c>
    </row>
    <row r="108">
      <c r="A108" t="inlineStr">
        <is>
          <t>active_udl = Ka_traffic*gamma_Q*30*H_ext (kN)</t>
        </is>
      </c>
      <c r="B108" s="12">
        <f>Ka_traffic_EQU*RoadTraffic_sup_EQU*30.0*H_ext</f>
        <v/>
      </c>
    </row>
    <row r="109">
      <c r="A109" t="inlineStr">
        <is>
          <t>braking_char (kN)</t>
        </is>
      </c>
      <c r="B109" s="12">
        <f>Q_brk_per_m</f>
        <v/>
      </c>
    </row>
    <row r="110">
      <c r="A110" t="inlineStr">
        <is>
          <t>braking = gamma_Q * braking_char (kN)</t>
        </is>
      </c>
      <c r="B110" s="12">
        <f>RoadTraffic_sup_EQU*B109</f>
        <v/>
      </c>
    </row>
    <row r="111">
      <c r="A111" t="inlineStr">
        <is>
          <t>total_active = active_surcharge+active_backfill+active_line_load+active_udl+braking (kN)</t>
        </is>
      </c>
      <c r="B111" s="12">
        <f>B74+B77+B107+B108+B110</f>
        <v/>
      </c>
    </row>
    <row r="112">
      <c r="A112" t="inlineStr">
        <is>
          <t>vertical_char (kN)</t>
        </is>
      </c>
      <c r="B112" s="12">
        <f>max_V_per_m</f>
        <v/>
      </c>
    </row>
    <row r="113">
      <c r="A113" t="inlineStr">
        <is>
          <t>vertical = gamma_Q * vertical_char (kN)</t>
        </is>
      </c>
      <c r="B113" s="12">
        <f>RoadTraffic_sup_EQU*B112</f>
        <v/>
      </c>
    </row>
    <row r="114">
      <c r="A114" t="inlineStr">
        <is>
          <t>V_d = common_vertical + vertical (kN)</t>
        </is>
      </c>
      <c r="B114" s="12">
        <f>B83+B113</f>
        <v/>
      </c>
    </row>
    <row r="115">
      <c r="A115" t="inlineStr">
        <is>
          <t>delta_d = ATAN(TAN(RADIANS(phi_founding))/gamma_M) (deg)</t>
        </is>
      </c>
      <c r="B115" s="12">
        <f>DEGREES(ATAN(TAN(RADIANS(phi_founding))/MaterialM_EQU))</f>
        <v/>
      </c>
    </row>
    <row r="116">
      <c r="A116" t="inlineStr">
        <is>
          <t>max_Rd = V_d * TAN(RADIANS(delta_d)) (kN)</t>
        </is>
      </c>
      <c r="B116" s="12">
        <f>B114*TAN(RADIANS(B115))</f>
        <v/>
      </c>
    </row>
    <row r="117">
      <c r="A117" t="inlineStr">
        <is>
          <t>friction_required = total_active - total_passive (kN)</t>
        </is>
      </c>
      <c r="B117" s="12">
        <f>B111-B79</f>
        <v/>
      </c>
    </row>
    <row r="118">
      <c r="A118" t="inlineStr">
        <is>
          <t>SLIDING margin = max_Rd - friction_required (kN)</t>
        </is>
      </c>
      <c r="B118" s="12">
        <f>B116-B117</f>
        <v/>
      </c>
    </row>
    <row r="119">
      <c r="A119" t="inlineStr">
        <is>
          <t>Sliding OK? (margin &gt;= 0)</t>
        </is>
      </c>
      <c r="B119">
        <f>B118&gt;=0</f>
        <v/>
      </c>
    </row>
    <row r="120">
      <c r="A120" t="inlineStr">
        <is>
          <t>UR_sliding = MAX(0,friction_required)/max_Rd (%)</t>
        </is>
      </c>
      <c r="B120" s="11">
        <f>MAX(0,B117)/B116*100</f>
        <v/>
      </c>
    </row>
    <row r="121">
      <c r="A121" t="inlineStr">
        <is>
          <t>M_active = act_surch*(H_ext/2)+act_bkfl*(H_ext/3)+line_load*H_ext+udl*(H_ext/2)+braking*H_ext (kNm)</t>
        </is>
      </c>
      <c r="B121" s="12">
        <f>B74*(H_ext/2)+B77*(H_ext/3)+B107*H_ext+B108*(H_ext/2)+B110*H_ext</f>
        <v/>
      </c>
    </row>
    <row r="122">
      <c r="A122" t="inlineStr">
        <is>
          <t>M_passive = pass_surch*(H_ext/2) + pass_bkfl*(H_ext/3) (kNm)</t>
        </is>
      </c>
      <c r="B122" s="12">
        <f>B75*(H_ext/2)+B78*(H_ext/3)</f>
        <v/>
      </c>
    </row>
    <row r="123">
      <c r="A123" t="inlineStr">
        <is>
          <t>M_driving = MAX(0, M_active - M_passive) (kNm)</t>
        </is>
      </c>
      <c r="B123" s="12">
        <f>MAX(0,B121-B122)</f>
        <v/>
      </c>
    </row>
    <row r="124">
      <c r="A124" t="inlineStr">
        <is>
          <t>M_stabilizing = V_d * B_ext/2 (kNm)</t>
        </is>
      </c>
      <c r="B124" s="12">
        <f>B114*B_ext/2</f>
        <v/>
      </c>
    </row>
    <row r="125">
      <c r="A125" t="inlineStr">
        <is>
          <t>OVERTURNING margin = M_stabilizing - M_driving (kNm)</t>
        </is>
      </c>
      <c r="B125" s="12">
        <f>B124-B123</f>
        <v/>
      </c>
    </row>
    <row r="126">
      <c r="A126" t="inlineStr">
        <is>
          <t>Overturning OK? (ot_margin &gt;= 0)</t>
        </is>
      </c>
      <c r="B126">
        <f>B125&gt;=0</f>
        <v/>
      </c>
    </row>
    <row r="127">
      <c r="A127" t="inlineStr">
        <is>
          <t>UR_overturning = MAX(0,M_driving)/M_stabilizing (%)</t>
        </is>
      </c>
      <c r="B127" s="11">
        <f>MAX(0,B123)/B124*100</f>
        <v/>
      </c>
    </row>
    <row r="128">
      <c r="A128" t="inlineStr">
        <is>
          <t>Governing (sliding) — LM1 if its margin is smaller</t>
        </is>
      </c>
      <c r="B128">
        <f>IF(B96&lt;B118,"LM1","LM3")</f>
        <v/>
      </c>
    </row>
    <row r="129">
      <c r="A129" t="inlineStr">
        <is>
          <t>Governing (overturning) — LM1 if its margin is smaller</t>
        </is>
      </c>
      <c r="B129">
        <f>IF(B103&lt;B125,"LM1","LM3")</f>
        <v/>
      </c>
    </row>
    <row r="131" ht="20" customHeight="1">
      <c r="A131" s="1" t="inlineStr">
        <is>
          <t>Sliding &amp; Overturning at STR/GEO Comb1</t>
        </is>
      </c>
      <c r="B131" s="2" t="n"/>
    </row>
    <row r="133">
      <c r="A133" s="3" t="inlineStr">
        <is>
          <t>Common Terms — STR/GEO Comb1 (unfavourable/max)</t>
        </is>
      </c>
      <c r="B133" s="4" t="n"/>
      <c r="C133" s="4" t="n"/>
      <c r="D133" s="4" t="n"/>
      <c r="E133" s="4" t="n"/>
      <c r="F133" s="4" t="n"/>
    </row>
    <row r="134">
      <c r="A134" t="inlineStr">
        <is>
          <t>road_udl_char = UDL_1 (kN/m)</t>
        </is>
      </c>
      <c r="B134" s="12">
        <f>UDL_1</f>
        <v/>
      </c>
    </row>
    <row r="135">
      <c r="A135" t="inlineStr">
        <is>
          <t>fill_udl_char = UDL_total - UDL_1 (kN/m)</t>
        </is>
      </c>
      <c r="B135" s="12">
        <f>UDL_total-UDL_1</f>
        <v/>
      </c>
    </row>
    <row r="136">
      <c r="A136" t="inlineStr">
        <is>
          <t>surcharge_road = road_dev * road_udl_char (kN/m)</t>
        </is>
      </c>
      <c r="B136" s="12">
        <f>road_dev_unfav*B134</f>
        <v/>
      </c>
    </row>
    <row r="137">
      <c r="A137" t="inlineStr">
        <is>
          <t>active_surcharge = Ka_earth*gamma_super*(surcharge_road+fill_udl_char)*H_ext (kN)</t>
        </is>
      </c>
      <c r="B137" s="12">
        <f>Ka_earth_STR_GEO_Comb1*Superimposed_sup_STR_GEO_Comb1*(B136+B135)*H_ext</f>
        <v/>
      </c>
    </row>
    <row r="138">
      <c r="A138" t="inlineStr">
        <is>
          <t>passive_surcharge = Kmax*gamma_super*(surcharge_road+fill_udl_char)*H_ext (kN)</t>
        </is>
      </c>
      <c r="B138" s="12">
        <f>Kmax_STR_GEO_Comb1*Superimposed_sup_STR_GEO_Comb1*(B136+B135)*H_ext</f>
        <v/>
      </c>
    </row>
    <row r="139">
      <c r="A139" t="inlineStr">
        <is>
          <t>backfill_pressure = gamma_backfill * H_ext (kN/m2)</t>
        </is>
      </c>
      <c r="B139" s="12">
        <f>gamma_backfill*H_ext</f>
        <v/>
      </c>
    </row>
    <row r="140">
      <c r="A140" t="inlineStr">
        <is>
          <t>active_backfill = Ka_earth*gamma_self*backfill_pressure*H_ext/2 (kN)</t>
        </is>
      </c>
      <c r="B140" s="12">
        <f>Ka_earth_STR_GEO_Comb1*SelfWeight_sup_STR_GEO_Comb1*B139*H_ext/2</f>
        <v/>
      </c>
    </row>
    <row r="141">
      <c r="A141" t="inlineStr">
        <is>
          <t>passive_backfill = Kmax*gamma_self*backfill_pressure*H_ext/2 (kN)</t>
        </is>
      </c>
      <c r="B141" s="12">
        <f>Kmax_STR_GEO_Comb1*SelfWeight_sup_STR_GEO_Comb1*B139*H_ext/2</f>
        <v/>
      </c>
    </row>
    <row r="142">
      <c r="A142" t="inlineStr">
        <is>
          <t>total_passive = passive_surcharge + passive_backfill (kN)</t>
        </is>
      </c>
      <c r="B142" s="12">
        <f>B138+B141</f>
        <v/>
      </c>
    </row>
    <row r="143">
      <c r="A143" t="inlineStr">
        <is>
          <t>road_vertical = gamma_super * gamma_sd_ec * road_dev * road_udl_char * B_ext (kN)</t>
        </is>
      </c>
      <c r="B143" s="12">
        <f>Superimposed_sup_STR_GEO_Comb1*gamma_sd_ec*road_dev_unfav*B134*B_ext</f>
        <v/>
      </c>
    </row>
    <row r="144">
      <c r="A144" t="inlineStr">
        <is>
          <t>fill_vertical = gamma_super * gamma_sd_ec * fill_udl_char * B_ext (kN)</t>
        </is>
      </c>
      <c r="B144" s="12">
        <f>Superimposed_sup_STR_GEO_Comb1*gamma_sd_ec*B135*B_ext</f>
        <v/>
      </c>
    </row>
    <row r="145">
      <c r="A145" t="inlineStr">
        <is>
          <t>self_weight_vertical = gamma_self * W_box (kN)</t>
        </is>
      </c>
      <c r="B145" s="12">
        <f>SelfWeight_sup_STR_GEO_Comb1*W_box</f>
        <v/>
      </c>
    </row>
    <row r="146">
      <c r="A146" t="inlineStr">
        <is>
          <t>common_vertical = road_vertical + fill_vertical + self_weight_vertical (kN)</t>
        </is>
      </c>
      <c r="B146" s="12">
        <f>B143+B144+B145</f>
        <v/>
      </c>
    </row>
    <row r="147">
      <c r="A147" s="3" t="inlineStr">
        <is>
          <t>LM1 Scenario — STR/GEO Comb1</t>
        </is>
      </c>
      <c r="B147" s="4" t="n"/>
      <c r="C147" s="4" t="n"/>
      <c r="D147" s="4" t="n"/>
      <c r="E147" s="4" t="n"/>
      <c r="F147" s="4" t="n"/>
    </row>
    <row r="148">
      <c r="A148" t="inlineStr">
        <is>
          <t>active_line_load = Ka_traffic*gamma_Q*F_hll_1m_coeff (kN)</t>
        </is>
      </c>
      <c r="B148" s="12">
        <f>Ka_traffic_STR_GEO_Comb1*RoadTraffic_sup_STR_GEO_Comb1*F_hll_1m_coeff</f>
        <v/>
      </c>
    </row>
    <row r="149">
      <c r="A149" t="inlineStr">
        <is>
          <t>active_udl = Ka_traffic*gamma_Q*20*H_ext (kN)</t>
        </is>
      </c>
      <c r="B149" s="12">
        <f>Ka_traffic_STR_GEO_Comb1*RoadTraffic_sup_STR_GEO_Comb1*20.0*H_ext</f>
        <v/>
      </c>
    </row>
    <row r="150">
      <c r="A150" t="inlineStr">
        <is>
          <t>braking_char (kN)</t>
        </is>
      </c>
      <c r="B150" s="12">
        <f>Q_lk/L_L</f>
        <v/>
      </c>
    </row>
    <row r="151">
      <c r="A151" t="inlineStr">
        <is>
          <t>braking = gamma_Q * braking_char (kN)</t>
        </is>
      </c>
      <c r="B151" s="12">
        <f>RoadTraffic_sup_STR_GEO_Comb1*B150</f>
        <v/>
      </c>
    </row>
    <row r="152">
      <c r="A152" t="inlineStr">
        <is>
          <t>total_active = active_surcharge+active_backfill+active_line_load+active_udl+braking (kN)</t>
        </is>
      </c>
      <c r="B152" s="12">
        <f>B137+B140+B148+B149+B151</f>
        <v/>
      </c>
    </row>
    <row r="153">
      <c r="A153" t="inlineStr">
        <is>
          <t>vertical_char (kN)</t>
        </is>
      </c>
      <c r="B153" s="12">
        <f>lane1_udl*B_ext+patch_load*disp_m*2</f>
        <v/>
      </c>
    </row>
    <row r="154">
      <c r="A154" t="inlineStr">
        <is>
          <t>vertical = gamma_Q * vertical_char (kN)</t>
        </is>
      </c>
      <c r="B154" s="12">
        <f>RoadTraffic_sup_STR_GEO_Comb1*B153</f>
        <v/>
      </c>
    </row>
    <row r="155">
      <c r="A155" t="inlineStr">
        <is>
          <t>V_d = common_vertical + vertical (kN)</t>
        </is>
      </c>
      <c r="B155" s="12">
        <f>B146+B154</f>
        <v/>
      </c>
    </row>
    <row r="156">
      <c r="A156" t="inlineStr">
        <is>
          <t>delta_d = ATAN(TAN(RADIANS(phi_founding))/gamma_M) (deg)</t>
        </is>
      </c>
      <c r="B156" s="12">
        <f>DEGREES(ATAN(TAN(RADIANS(phi_founding))/MaterialM_STR_GEO_Comb1))</f>
        <v/>
      </c>
    </row>
    <row r="157">
      <c r="A157" t="inlineStr">
        <is>
          <t>max_Rd = V_d * TAN(RADIANS(delta_d)) (kN)</t>
        </is>
      </c>
      <c r="B157" s="12">
        <f>B155*TAN(RADIANS(B156))</f>
        <v/>
      </c>
    </row>
    <row r="158">
      <c r="A158" t="inlineStr">
        <is>
          <t>friction_required = total_active - total_passive (kN)</t>
        </is>
      </c>
      <c r="B158" s="12">
        <f>B152-B142</f>
        <v/>
      </c>
    </row>
    <row r="159">
      <c r="A159" t="inlineStr">
        <is>
          <t>SLIDING margin = max_Rd - friction_required (kN)</t>
        </is>
      </c>
      <c r="B159" s="12">
        <f>B157-B158</f>
        <v/>
      </c>
    </row>
    <row r="160">
      <c r="A160" t="inlineStr">
        <is>
          <t>Sliding OK? (margin &gt;= 0)</t>
        </is>
      </c>
      <c r="B160">
        <f>B159&gt;=0</f>
        <v/>
      </c>
    </row>
    <row r="161">
      <c r="A161" t="inlineStr">
        <is>
          <t>UR_sliding = MAX(0,friction_required)/max_Rd (%)</t>
        </is>
      </c>
      <c r="B161" s="11">
        <f>MAX(0,B158)/B157*100</f>
        <v/>
      </c>
    </row>
    <row r="162">
      <c r="A162" t="inlineStr">
        <is>
          <t>M_active = act_surch*(H_ext/2)+act_bkfl*(H_ext/3)+line_load*H_ext+udl*(H_ext/2)+braking*H_ext (kNm)</t>
        </is>
      </c>
      <c r="B162" s="12">
        <f>B137*(H_ext/2)+B140*(H_ext/3)+B148*H_ext+B149*(H_ext/2)+B151*H_ext</f>
        <v/>
      </c>
    </row>
    <row r="163">
      <c r="A163" t="inlineStr">
        <is>
          <t>M_passive = pass_surch*(H_ext/2) + pass_bkfl*(H_ext/3) (kNm)</t>
        </is>
      </c>
      <c r="B163" s="12">
        <f>B138*(H_ext/2)+B141*(H_ext/3)</f>
        <v/>
      </c>
    </row>
    <row r="164">
      <c r="A164" t="inlineStr">
        <is>
          <t>M_driving = MAX(0, M_active - M_passive) (kNm)</t>
        </is>
      </c>
      <c r="B164" s="12">
        <f>MAX(0,B162-B163)</f>
        <v/>
      </c>
    </row>
    <row r="165">
      <c r="A165" t="inlineStr">
        <is>
          <t>M_stabilizing = V_d * B_ext/2 (kNm)</t>
        </is>
      </c>
      <c r="B165" s="12">
        <f>B155*B_ext/2</f>
        <v/>
      </c>
    </row>
    <row r="166">
      <c r="A166" t="inlineStr">
        <is>
          <t>OVERTURNING margin = M_stabilizing - M_driving (kNm)</t>
        </is>
      </c>
      <c r="B166" s="12">
        <f>B165-B164</f>
        <v/>
      </c>
    </row>
    <row r="167">
      <c r="A167" t="inlineStr">
        <is>
          <t>Overturning OK? (ot_margin &gt;= 0)</t>
        </is>
      </c>
      <c r="B167">
        <f>B166&gt;=0</f>
        <v/>
      </c>
    </row>
    <row r="168">
      <c r="A168" t="inlineStr">
        <is>
          <t>UR_overturning = MAX(0,M_driving)/M_stabilizing (%)</t>
        </is>
      </c>
      <c r="B168" s="11">
        <f>MAX(0,B164)/B165*100</f>
        <v/>
      </c>
    </row>
    <row r="169">
      <c r="A169" s="3" t="inlineStr">
        <is>
          <t>LM3 Scenario — STR/GEO Comb1</t>
        </is>
      </c>
      <c r="B169" s="4" t="n"/>
      <c r="C169" s="4" t="n"/>
      <c r="D169" s="4" t="n"/>
      <c r="E169" s="4" t="n"/>
      <c r="F169" s="4" t="n"/>
    </row>
    <row r="170">
      <c r="A170" t="inlineStr">
        <is>
          <t>active_line_load = Ka_traffic*gamma_Q*F_hll_1m_coeff (kN)</t>
        </is>
      </c>
      <c r="B170" s="12">
        <f>Ka_traffic_STR_GEO_Comb1*RoadTraffic_sup_STR_GEO_Comb1*F_hll_1m_coeff</f>
        <v/>
      </c>
    </row>
    <row r="171">
      <c r="A171" t="inlineStr">
        <is>
          <t>active_udl = Ka_traffic*gamma_Q*30*H_ext (kN)</t>
        </is>
      </c>
      <c r="B171" s="12">
        <f>Ka_traffic_STR_GEO_Comb1*RoadTraffic_sup_STR_GEO_Comb1*30.0*H_ext</f>
        <v/>
      </c>
    </row>
    <row r="172">
      <c r="A172" t="inlineStr">
        <is>
          <t>braking_char (kN)</t>
        </is>
      </c>
      <c r="B172" s="12">
        <f>Q_brk_per_m</f>
        <v/>
      </c>
    </row>
    <row r="173">
      <c r="A173" t="inlineStr">
        <is>
          <t>braking = gamma_Q * braking_char (kN)</t>
        </is>
      </c>
      <c r="B173" s="12">
        <f>RoadTraffic_sup_STR_GEO_Comb1*B172</f>
        <v/>
      </c>
    </row>
    <row r="174">
      <c r="A174" t="inlineStr">
        <is>
          <t>total_active = active_surcharge+active_backfill+active_line_load+active_udl+braking (kN)</t>
        </is>
      </c>
      <c r="B174" s="12">
        <f>B137+B140+B170+B171+B173</f>
        <v/>
      </c>
    </row>
    <row r="175">
      <c r="A175" t="inlineStr">
        <is>
          <t>vertical_char (kN)</t>
        </is>
      </c>
      <c r="B175" s="12">
        <f>max_V_per_m</f>
        <v/>
      </c>
    </row>
    <row r="176">
      <c r="A176" t="inlineStr">
        <is>
          <t>vertical = gamma_Q * vertical_char (kN)</t>
        </is>
      </c>
      <c r="B176" s="12">
        <f>RoadTraffic_sup_STR_GEO_Comb1*B175</f>
        <v/>
      </c>
    </row>
    <row r="177">
      <c r="A177" t="inlineStr">
        <is>
          <t>V_d = common_vertical + vertical (kN)</t>
        </is>
      </c>
      <c r="B177" s="12">
        <f>B146+B176</f>
        <v/>
      </c>
    </row>
    <row r="178">
      <c r="A178" t="inlineStr">
        <is>
          <t>delta_d = ATAN(TAN(RADIANS(phi_founding))/gamma_M) (deg)</t>
        </is>
      </c>
      <c r="B178" s="12">
        <f>DEGREES(ATAN(TAN(RADIANS(phi_founding))/MaterialM_STR_GEO_Comb1))</f>
        <v/>
      </c>
    </row>
    <row r="179">
      <c r="A179" t="inlineStr">
        <is>
          <t>max_Rd = V_d * TAN(RADIANS(delta_d)) (kN)</t>
        </is>
      </c>
      <c r="B179" s="12">
        <f>B177*TAN(RADIANS(B178))</f>
        <v/>
      </c>
    </row>
    <row r="180">
      <c r="A180" t="inlineStr">
        <is>
          <t>friction_required = total_active - total_passive (kN)</t>
        </is>
      </c>
      <c r="B180" s="12">
        <f>B174-B142</f>
        <v/>
      </c>
    </row>
    <row r="181">
      <c r="A181" t="inlineStr">
        <is>
          <t>SLIDING margin = max_Rd - friction_required (kN)</t>
        </is>
      </c>
      <c r="B181" s="12">
        <f>B179-B180</f>
        <v/>
      </c>
    </row>
    <row r="182">
      <c r="A182" t="inlineStr">
        <is>
          <t>Sliding OK? (margin &gt;= 0)</t>
        </is>
      </c>
      <c r="B182">
        <f>B181&gt;=0</f>
        <v/>
      </c>
    </row>
    <row r="183">
      <c r="A183" t="inlineStr">
        <is>
          <t>UR_sliding = MAX(0,friction_required)/max_Rd (%)</t>
        </is>
      </c>
      <c r="B183" s="11">
        <f>MAX(0,B180)/B179*100</f>
        <v/>
      </c>
    </row>
    <row r="184">
      <c r="A184" t="inlineStr">
        <is>
          <t>M_active = act_surch*(H_ext/2)+act_bkfl*(H_ext/3)+line_load*H_ext+udl*(H_ext/2)+braking*H_ext (kNm)</t>
        </is>
      </c>
      <c r="B184" s="12">
        <f>B137*(H_ext/2)+B140*(H_ext/3)+B170*H_ext+B171*(H_ext/2)+B173*H_ext</f>
        <v/>
      </c>
    </row>
    <row r="185">
      <c r="A185" t="inlineStr">
        <is>
          <t>M_passive = pass_surch*(H_ext/2) + pass_bkfl*(H_ext/3) (kNm)</t>
        </is>
      </c>
      <c r="B185" s="12">
        <f>B138*(H_ext/2)+B141*(H_ext/3)</f>
        <v/>
      </c>
    </row>
    <row r="186">
      <c r="A186" t="inlineStr">
        <is>
          <t>M_driving = MAX(0, M_active - M_passive) (kNm)</t>
        </is>
      </c>
      <c r="B186" s="12">
        <f>MAX(0,B184-B185)</f>
        <v/>
      </c>
    </row>
    <row r="187">
      <c r="A187" t="inlineStr">
        <is>
          <t>M_stabilizing = V_d * B_ext/2 (kNm)</t>
        </is>
      </c>
      <c r="B187" s="12">
        <f>B177*B_ext/2</f>
        <v/>
      </c>
    </row>
    <row r="188">
      <c r="A188" t="inlineStr">
        <is>
          <t>OVERTURNING margin = M_stabilizing - M_driving (kNm)</t>
        </is>
      </c>
      <c r="B188" s="12">
        <f>B187-B186</f>
        <v/>
      </c>
    </row>
    <row r="189">
      <c r="A189" t="inlineStr">
        <is>
          <t>Overturning OK? (ot_margin &gt;= 0)</t>
        </is>
      </c>
      <c r="B189">
        <f>B188&gt;=0</f>
        <v/>
      </c>
    </row>
    <row r="190">
      <c r="A190" t="inlineStr">
        <is>
          <t>UR_overturning = MAX(0,M_driving)/M_stabilizing (%)</t>
        </is>
      </c>
      <c r="B190" s="11">
        <f>MAX(0,B186)/B187*100</f>
        <v/>
      </c>
    </row>
    <row r="191">
      <c r="A191" t="inlineStr">
        <is>
          <t>Governing (sliding) — LM1 if its margin is smaller</t>
        </is>
      </c>
      <c r="B191">
        <f>IF(B159&lt;B181,"LM1","LM3")</f>
        <v/>
      </c>
    </row>
    <row r="192">
      <c r="A192" t="inlineStr">
        <is>
          <t>Governing (overturning) — LM1 if its margin is smaller</t>
        </is>
      </c>
      <c r="B192">
        <f>IF(B166&lt;B188,"LM1","LM3")</f>
        <v/>
      </c>
    </row>
    <row r="194" ht="20" customHeight="1">
      <c r="A194" s="1" t="inlineStr">
        <is>
          <t>Sliding &amp; Overturning at STR/GEO Comb2</t>
        </is>
      </c>
      <c r="B194" s="2" t="n"/>
    </row>
    <row r="196">
      <c r="A196" s="3" t="inlineStr">
        <is>
          <t>Common Terms — STR/GEO Comb2 (unfavourable/max)</t>
        </is>
      </c>
      <c r="B196" s="4" t="n"/>
      <c r="C196" s="4" t="n"/>
      <c r="D196" s="4" t="n"/>
      <c r="E196" s="4" t="n"/>
      <c r="F196" s="4" t="n"/>
    </row>
    <row r="197">
      <c r="A197" t="inlineStr">
        <is>
          <t>road_udl_char = UDL_1 (kN/m)</t>
        </is>
      </c>
      <c r="B197" s="12">
        <f>UDL_1</f>
        <v/>
      </c>
    </row>
    <row r="198">
      <c r="A198" t="inlineStr">
        <is>
          <t>fill_udl_char = UDL_total - UDL_1 (kN/m)</t>
        </is>
      </c>
      <c r="B198" s="12">
        <f>UDL_total-UDL_1</f>
        <v/>
      </c>
    </row>
    <row r="199">
      <c r="A199" t="inlineStr">
        <is>
          <t>surcharge_road = road_dev * road_udl_char (kN/m)</t>
        </is>
      </c>
      <c r="B199" s="12">
        <f>road_dev_unfav*B197</f>
        <v/>
      </c>
    </row>
    <row r="200">
      <c r="A200" t="inlineStr">
        <is>
          <t>active_surcharge = Ka_earth*gamma_super*(surcharge_road+fill_udl_char)*H_ext (kN)</t>
        </is>
      </c>
      <c r="B200" s="12">
        <f>Ka_earth_STR_GEO_Comb2*Superimposed_sup_STR_GEO_Comb2*(B199+B198)*H_ext</f>
        <v/>
      </c>
    </row>
    <row r="201">
      <c r="A201" t="inlineStr">
        <is>
          <t>passive_surcharge = Kmax*gamma_super*(surcharge_road+fill_udl_char)*H_ext (kN)</t>
        </is>
      </c>
      <c r="B201" s="12">
        <f>Kmax_STR_GEO_Comb2*Superimposed_sup_STR_GEO_Comb2*(B199+B198)*H_ext</f>
        <v/>
      </c>
    </row>
    <row r="202">
      <c r="A202" t="inlineStr">
        <is>
          <t>backfill_pressure = gamma_backfill * H_ext (kN/m2)</t>
        </is>
      </c>
      <c r="B202" s="12">
        <f>gamma_backfill*H_ext</f>
        <v/>
      </c>
    </row>
    <row r="203">
      <c r="A203" t="inlineStr">
        <is>
          <t>active_backfill = Ka_earth*gamma_self*backfill_pressure*H_ext/2 (kN)</t>
        </is>
      </c>
      <c r="B203" s="12">
        <f>Ka_earth_STR_GEO_Comb2*SelfWeight_sup_STR_GEO_Comb2*B202*H_ext/2</f>
        <v/>
      </c>
    </row>
    <row r="204">
      <c r="A204" t="inlineStr">
        <is>
          <t>passive_backfill = Kmax*gamma_self*backfill_pressure*H_ext/2 (kN)</t>
        </is>
      </c>
      <c r="B204" s="12">
        <f>Kmax_STR_GEO_Comb2*SelfWeight_sup_STR_GEO_Comb2*B202*H_ext/2</f>
        <v/>
      </c>
    </row>
    <row r="205">
      <c r="A205" t="inlineStr">
        <is>
          <t>total_passive = passive_surcharge + passive_backfill (kN)</t>
        </is>
      </c>
      <c r="B205" s="12">
        <f>B201+B204</f>
        <v/>
      </c>
    </row>
    <row r="206">
      <c r="A206" t="inlineStr">
        <is>
          <t>road_vertical = gamma_super * gamma_sd_ec * road_dev * road_udl_char * B_ext (kN)</t>
        </is>
      </c>
      <c r="B206" s="12">
        <f>Superimposed_sup_STR_GEO_Comb2*gamma_sd_ec*road_dev_unfav*B197*B_ext</f>
        <v/>
      </c>
    </row>
    <row r="207">
      <c r="A207" t="inlineStr">
        <is>
          <t>fill_vertical = gamma_super * gamma_sd_ec * fill_udl_char * B_ext (kN)</t>
        </is>
      </c>
      <c r="B207" s="12">
        <f>Superimposed_sup_STR_GEO_Comb2*gamma_sd_ec*B198*B_ext</f>
        <v/>
      </c>
    </row>
    <row r="208">
      <c r="A208" t="inlineStr">
        <is>
          <t>self_weight_vertical = gamma_self * W_box (kN)</t>
        </is>
      </c>
      <c r="B208" s="12">
        <f>SelfWeight_sup_STR_GEO_Comb2*W_box</f>
        <v/>
      </c>
    </row>
    <row r="209">
      <c r="A209" t="inlineStr">
        <is>
          <t>common_vertical = road_vertical + fill_vertical + self_weight_vertical (kN)</t>
        </is>
      </c>
      <c r="B209" s="12">
        <f>B206+B207+B208</f>
        <v/>
      </c>
    </row>
    <row r="210">
      <c r="A210" s="3" t="inlineStr">
        <is>
          <t>LM1 Scenario — STR/GEO Comb2</t>
        </is>
      </c>
      <c r="B210" s="4" t="n"/>
      <c r="C210" s="4" t="n"/>
      <c r="D210" s="4" t="n"/>
      <c r="E210" s="4" t="n"/>
      <c r="F210" s="4" t="n"/>
    </row>
    <row r="211">
      <c r="A211" t="inlineStr">
        <is>
          <t>active_line_load = Ka_traffic*gamma_Q*F_hll_1m_coeff (kN)</t>
        </is>
      </c>
      <c r="B211" s="12">
        <f>Ka_traffic_STR_GEO_Comb2*RoadTraffic_sup_STR_GEO_Comb2*F_hll_1m_coeff</f>
        <v/>
      </c>
    </row>
    <row r="212">
      <c r="A212" t="inlineStr">
        <is>
          <t>active_udl = Ka_traffic*gamma_Q*20*H_ext (kN)</t>
        </is>
      </c>
      <c r="B212" s="12">
        <f>Ka_traffic_STR_GEO_Comb2*RoadTraffic_sup_STR_GEO_Comb2*20.0*H_ext</f>
        <v/>
      </c>
    </row>
    <row r="213">
      <c r="A213" t="inlineStr">
        <is>
          <t>braking_char (kN)</t>
        </is>
      </c>
      <c r="B213" s="12">
        <f>Q_lk/L_L</f>
        <v/>
      </c>
    </row>
    <row r="214">
      <c r="A214" t="inlineStr">
        <is>
          <t>braking = gamma_Q * braking_char (kN)</t>
        </is>
      </c>
      <c r="B214" s="12">
        <f>RoadTraffic_sup_STR_GEO_Comb2*B213</f>
        <v/>
      </c>
    </row>
    <row r="215">
      <c r="A215" t="inlineStr">
        <is>
          <t>total_active = active_surcharge+active_backfill+active_line_load+active_udl+braking (kN)</t>
        </is>
      </c>
      <c r="B215" s="12">
        <f>B200+B203+B211+B212+B214</f>
        <v/>
      </c>
    </row>
    <row r="216">
      <c r="A216" t="inlineStr">
        <is>
          <t>vertical_char (kN)</t>
        </is>
      </c>
      <c r="B216" s="12">
        <f>lane1_udl*B_ext+patch_load*disp_m*2</f>
        <v/>
      </c>
    </row>
    <row r="217">
      <c r="A217" t="inlineStr">
        <is>
          <t>vertical = gamma_Q * vertical_char (kN)</t>
        </is>
      </c>
      <c r="B217" s="12">
        <f>RoadTraffic_sup_STR_GEO_Comb2*B216</f>
        <v/>
      </c>
    </row>
    <row r="218">
      <c r="A218" t="inlineStr">
        <is>
          <t>V_d = common_vertical + vertical (kN)</t>
        </is>
      </c>
      <c r="B218" s="12">
        <f>B209+B217</f>
        <v/>
      </c>
    </row>
    <row r="219">
      <c r="A219" t="inlineStr">
        <is>
          <t>delta_d = ATAN(TAN(RADIANS(phi_founding))/gamma_M) (deg)</t>
        </is>
      </c>
      <c r="B219" s="12">
        <f>DEGREES(ATAN(TAN(RADIANS(phi_founding))/MaterialM_STR_GEO_Comb2))</f>
        <v/>
      </c>
    </row>
    <row r="220">
      <c r="A220" t="inlineStr">
        <is>
          <t>max_Rd = V_d * TAN(RADIANS(delta_d)) (kN)</t>
        </is>
      </c>
      <c r="B220" s="12">
        <f>B218*TAN(RADIANS(B219))</f>
        <v/>
      </c>
    </row>
    <row r="221">
      <c r="A221" t="inlineStr">
        <is>
          <t>friction_required = total_active - total_passive (kN)</t>
        </is>
      </c>
      <c r="B221" s="12">
        <f>B215-B205</f>
        <v/>
      </c>
    </row>
    <row r="222">
      <c r="A222" t="inlineStr">
        <is>
          <t>SLIDING margin = max_Rd - friction_required (kN)</t>
        </is>
      </c>
      <c r="B222" s="12">
        <f>B220-B221</f>
        <v/>
      </c>
    </row>
    <row r="223">
      <c r="A223" t="inlineStr">
        <is>
          <t>Sliding OK? (margin &gt;= 0)</t>
        </is>
      </c>
      <c r="B223">
        <f>B222&gt;=0</f>
        <v/>
      </c>
    </row>
    <row r="224">
      <c r="A224" t="inlineStr">
        <is>
          <t>UR_sliding = MAX(0,friction_required)/max_Rd (%)</t>
        </is>
      </c>
      <c r="B224" s="11">
        <f>MAX(0,B221)/B220*100</f>
        <v/>
      </c>
    </row>
    <row r="225">
      <c r="A225" t="inlineStr">
        <is>
          <t>M_active = act_surch*(H_ext/2)+act_bkfl*(H_ext/3)+line_load*H_ext+udl*(H_ext/2)+braking*H_ext (kNm)</t>
        </is>
      </c>
      <c r="B225" s="12">
        <f>B200*(H_ext/2)+B203*(H_ext/3)+B211*H_ext+B212*(H_ext/2)+B214*H_ext</f>
        <v/>
      </c>
    </row>
    <row r="226">
      <c r="A226" t="inlineStr">
        <is>
          <t>M_passive = pass_surch*(H_ext/2) + pass_bkfl*(H_ext/3) (kNm)</t>
        </is>
      </c>
      <c r="B226" s="12">
        <f>B201*(H_ext/2)+B204*(H_ext/3)</f>
        <v/>
      </c>
    </row>
    <row r="227">
      <c r="A227" t="inlineStr">
        <is>
          <t>M_driving = MAX(0, M_active - M_passive) (kNm)</t>
        </is>
      </c>
      <c r="B227" s="12">
        <f>MAX(0,B225-B226)</f>
        <v/>
      </c>
    </row>
    <row r="228">
      <c r="A228" t="inlineStr">
        <is>
          <t>M_stabilizing = V_d * B_ext/2 (kNm)</t>
        </is>
      </c>
      <c r="B228" s="12">
        <f>B218*B_ext/2</f>
        <v/>
      </c>
    </row>
    <row r="229">
      <c r="A229" t="inlineStr">
        <is>
          <t>OVERTURNING margin = M_stabilizing - M_driving (kNm)</t>
        </is>
      </c>
      <c r="B229" s="12">
        <f>B228-B227</f>
        <v/>
      </c>
    </row>
    <row r="230">
      <c r="A230" t="inlineStr">
        <is>
          <t>Overturning OK? (ot_margin &gt;= 0)</t>
        </is>
      </c>
      <c r="B230">
        <f>B229&gt;=0</f>
        <v/>
      </c>
    </row>
    <row r="231">
      <c r="A231" t="inlineStr">
        <is>
          <t>UR_overturning = MAX(0,M_driving)/M_stabilizing (%)</t>
        </is>
      </c>
      <c r="B231" s="11">
        <f>MAX(0,B227)/B228*100</f>
        <v/>
      </c>
    </row>
    <row r="232">
      <c r="A232" s="3" t="inlineStr">
        <is>
          <t>LM3 Scenario — STR/GEO Comb2</t>
        </is>
      </c>
      <c r="B232" s="4" t="n"/>
      <c r="C232" s="4" t="n"/>
      <c r="D232" s="4" t="n"/>
      <c r="E232" s="4" t="n"/>
      <c r="F232" s="4" t="n"/>
    </row>
    <row r="233">
      <c r="A233" t="inlineStr">
        <is>
          <t>active_line_load = Ka_traffic*gamma_Q*F_hll_1m_coeff (kN)</t>
        </is>
      </c>
      <c r="B233" s="12">
        <f>Ka_traffic_STR_GEO_Comb2*RoadTraffic_sup_STR_GEO_Comb2*F_hll_1m_coeff</f>
        <v/>
      </c>
    </row>
    <row r="234">
      <c r="A234" t="inlineStr">
        <is>
          <t>active_udl = Ka_traffic*gamma_Q*30*H_ext (kN)</t>
        </is>
      </c>
      <c r="B234" s="12">
        <f>Ka_traffic_STR_GEO_Comb2*RoadTraffic_sup_STR_GEO_Comb2*30.0*H_ext</f>
        <v/>
      </c>
    </row>
    <row r="235">
      <c r="A235" t="inlineStr">
        <is>
          <t>braking_char (kN)</t>
        </is>
      </c>
      <c r="B235" s="12">
        <f>Q_brk_per_m</f>
        <v/>
      </c>
    </row>
    <row r="236">
      <c r="A236" t="inlineStr">
        <is>
          <t>braking = gamma_Q * braking_char (kN)</t>
        </is>
      </c>
      <c r="B236" s="12">
        <f>RoadTraffic_sup_STR_GEO_Comb2*B235</f>
        <v/>
      </c>
    </row>
    <row r="237">
      <c r="A237" t="inlineStr">
        <is>
          <t>total_active = active_surcharge+active_backfill+active_line_load+active_udl+braking (kN)</t>
        </is>
      </c>
      <c r="B237" s="12">
        <f>B200+B203+B233+B234+B236</f>
        <v/>
      </c>
    </row>
    <row r="238">
      <c r="A238" t="inlineStr">
        <is>
          <t>vertical_char (kN)</t>
        </is>
      </c>
      <c r="B238" s="12">
        <f>max_V_per_m</f>
        <v/>
      </c>
    </row>
    <row r="239">
      <c r="A239" t="inlineStr">
        <is>
          <t>vertical = gamma_Q * vertical_char (kN)</t>
        </is>
      </c>
      <c r="B239" s="12">
        <f>RoadTraffic_sup_STR_GEO_Comb2*B238</f>
        <v/>
      </c>
    </row>
    <row r="240">
      <c r="A240" t="inlineStr">
        <is>
          <t>V_d = common_vertical + vertical (kN)</t>
        </is>
      </c>
      <c r="B240" s="12">
        <f>B209+B239</f>
        <v/>
      </c>
    </row>
    <row r="241">
      <c r="A241" t="inlineStr">
        <is>
          <t>delta_d = ATAN(TAN(RADIANS(phi_founding))/gamma_M) (deg)</t>
        </is>
      </c>
      <c r="B241" s="12">
        <f>DEGREES(ATAN(TAN(RADIANS(phi_founding))/MaterialM_STR_GEO_Comb2))</f>
        <v/>
      </c>
    </row>
    <row r="242">
      <c r="A242" t="inlineStr">
        <is>
          <t>max_Rd = V_d * TAN(RADIANS(delta_d)) (kN)</t>
        </is>
      </c>
      <c r="B242" s="12">
        <f>B240*TAN(RADIANS(B241))</f>
        <v/>
      </c>
    </row>
    <row r="243">
      <c r="A243" t="inlineStr">
        <is>
          <t>friction_required = total_active - total_passive (kN)</t>
        </is>
      </c>
      <c r="B243" s="12">
        <f>B237-B205</f>
        <v/>
      </c>
    </row>
    <row r="244">
      <c r="A244" t="inlineStr">
        <is>
          <t>SLIDING margin = max_Rd - friction_required (kN)</t>
        </is>
      </c>
      <c r="B244" s="12">
        <f>B242-B243</f>
        <v/>
      </c>
    </row>
    <row r="245">
      <c r="A245" t="inlineStr">
        <is>
          <t>Sliding OK? (margin &gt;= 0)</t>
        </is>
      </c>
      <c r="B245">
        <f>B244&gt;=0</f>
        <v/>
      </c>
    </row>
    <row r="246">
      <c r="A246" t="inlineStr">
        <is>
          <t>UR_sliding = MAX(0,friction_required)/max_Rd (%)</t>
        </is>
      </c>
      <c r="B246" s="11">
        <f>MAX(0,B243)/B242*100</f>
        <v/>
      </c>
    </row>
    <row r="247">
      <c r="A247" t="inlineStr">
        <is>
          <t>M_active = act_surch*(H_ext/2)+act_bkfl*(H_ext/3)+line_load*H_ext+udl*(H_ext/2)+braking*H_ext (kNm)</t>
        </is>
      </c>
      <c r="B247" s="12">
        <f>B200*(H_ext/2)+B203*(H_ext/3)+B233*H_ext+B234*(H_ext/2)+B236*H_ext</f>
        <v/>
      </c>
    </row>
    <row r="248">
      <c r="A248" t="inlineStr">
        <is>
          <t>M_passive = pass_surch*(H_ext/2) + pass_bkfl*(H_ext/3) (kNm)</t>
        </is>
      </c>
      <c r="B248" s="12">
        <f>B201*(H_ext/2)+B204*(H_ext/3)</f>
        <v/>
      </c>
    </row>
    <row r="249">
      <c r="A249" t="inlineStr">
        <is>
          <t>M_driving = MAX(0, M_active - M_passive) (kNm)</t>
        </is>
      </c>
      <c r="B249" s="12">
        <f>MAX(0,B247-B248)</f>
        <v/>
      </c>
    </row>
    <row r="250">
      <c r="A250" t="inlineStr">
        <is>
          <t>M_stabilizing = V_d * B_ext/2 (kNm)</t>
        </is>
      </c>
      <c r="B250" s="12">
        <f>B240*B_ext/2</f>
        <v/>
      </c>
    </row>
    <row r="251">
      <c r="A251" t="inlineStr">
        <is>
          <t>OVERTURNING margin = M_stabilizing - M_driving (kNm)</t>
        </is>
      </c>
      <c r="B251" s="12">
        <f>B250-B249</f>
        <v/>
      </c>
    </row>
    <row r="252">
      <c r="A252" t="inlineStr">
        <is>
          <t>Overturning OK? (ot_margin &gt;= 0)</t>
        </is>
      </c>
      <c r="B252">
        <f>B251&gt;=0</f>
        <v/>
      </c>
    </row>
    <row r="253">
      <c r="A253" t="inlineStr">
        <is>
          <t>UR_overturning = MAX(0,M_driving)/M_stabilizing (%)</t>
        </is>
      </c>
      <c r="B253" s="11">
        <f>MAX(0,B249)/B250*100</f>
        <v/>
      </c>
    </row>
    <row r="254">
      <c r="A254" t="inlineStr">
        <is>
          <t>Governing (sliding) — LM1 if its margin is smaller</t>
        </is>
      </c>
      <c r="B254">
        <f>IF(B222&lt;B244,"LM1","LM3")</f>
        <v/>
      </c>
    </row>
    <row r="255">
      <c r="A255" t="inlineStr">
        <is>
          <t>Governing (overturning) — LM1 if its margin is smaller</t>
        </is>
      </c>
      <c r="B255">
        <f>IF(B229&lt;B251,"LM1","LM3")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03864"/>
    <outlinePr summaryBelow="1" summaryRight="1"/>
    <pageSetUpPr/>
  </sheetPr>
  <dimension ref="A1:F255"/>
  <sheetViews>
    <sheetView showGridLines="0" tabSelected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16" customWidth="1" min="2" max="2"/>
  </cols>
  <sheetData>
    <row r="1" ht="20" customHeight="1">
      <c r="A1" s="1" t="inlineStr">
        <is>
          <t>Table B.5 — Sliding &amp; Overturning (Minimum Vertical)</t>
        </is>
      </c>
      <c r="B1" s="2" t="n"/>
      <c r="C1" s="2" t="n"/>
      <c r="D1" s="2" t="n"/>
      <c r="E1" s="2" t="n"/>
      <c r="F1" s="2" t="n"/>
    </row>
    <row r="3">
      <c r="A3" s="10" t="inlineStr">
        <is>
          <t>Sliding and overturning, LM1 and LM3, all four limit states — the smaller margin governs.</t>
        </is>
      </c>
    </row>
    <row r="5" ht="20" customHeight="1">
      <c r="A5" s="1" t="inlineStr">
        <is>
          <t>Sliding &amp; Overturning at SLS</t>
        </is>
      </c>
      <c r="B5" s="2" t="n"/>
    </row>
    <row r="7">
      <c r="A7" s="3" t="inlineStr">
        <is>
          <t>Common Terms — SLS (favourable/min)</t>
        </is>
      </c>
      <c r="B7" s="4" t="n"/>
      <c r="C7" s="4" t="n"/>
      <c r="D7" s="4" t="n"/>
      <c r="E7" s="4" t="n"/>
      <c r="F7" s="4" t="n"/>
    </row>
    <row r="8">
      <c r="A8" t="inlineStr">
        <is>
          <t>road_udl_char = UDL_1 (kN/m)</t>
        </is>
      </c>
      <c r="B8" s="12">
        <f>UDL_1</f>
        <v/>
      </c>
    </row>
    <row r="9">
      <c r="A9" t="inlineStr">
        <is>
          <t>fill_udl_char = UDL_total - UDL_1 (kN/m)</t>
        </is>
      </c>
      <c r="B9" s="12">
        <f>UDL_total-UDL_1</f>
        <v/>
      </c>
    </row>
    <row r="10">
      <c r="A10" t="inlineStr">
        <is>
          <t>surcharge_road = road_dev * road_udl_char (kN/m)</t>
        </is>
      </c>
      <c r="B10" s="12">
        <f>road_dev_fav*B8</f>
        <v/>
      </c>
    </row>
    <row r="11">
      <c r="A11" t="inlineStr">
        <is>
          <t>active_surcharge = Ka_earth*gamma_super*(surcharge_road+fill_udl_char)*H_ext (kN)</t>
        </is>
      </c>
      <c r="B11" s="12">
        <f>Ka_earth_SLS*Superimposed_inf_SLS*(B10+B9)*H_ext</f>
        <v/>
      </c>
    </row>
    <row r="12">
      <c r="A12" t="inlineStr">
        <is>
          <t>passive_surcharge = Kmax*gamma_super*(surcharge_road+fill_udl_char)*H_ext (kN)</t>
        </is>
      </c>
      <c r="B12" s="12">
        <f>Kmax_SLS*Superimposed_inf_SLS*(B10+B9)*H_ext</f>
        <v/>
      </c>
    </row>
    <row r="13">
      <c r="A13" t="inlineStr">
        <is>
          <t>backfill_pressure = gamma_backfill * H_ext (kN/m2)</t>
        </is>
      </c>
      <c r="B13" s="12">
        <f>gamma_backfill*H_ext</f>
        <v/>
      </c>
    </row>
    <row r="14">
      <c r="A14" t="inlineStr">
        <is>
          <t>active_backfill = Ka_earth*gamma_self*backfill_pressure*H_ext/2 (kN)</t>
        </is>
      </c>
      <c r="B14" s="12">
        <f>Ka_earth_SLS*SelfWeight_inf_SLS*B13*H_ext/2</f>
        <v/>
      </c>
    </row>
    <row r="15">
      <c r="A15" t="inlineStr">
        <is>
          <t>passive_backfill = Kmax*gamma_self*backfill_pressure*H_ext/2 (kN)</t>
        </is>
      </c>
      <c r="B15" s="12">
        <f>Kmax_SLS*SelfWeight_inf_SLS*B13*H_ext/2</f>
        <v/>
      </c>
    </row>
    <row r="16">
      <c r="A16" t="inlineStr">
        <is>
          <t>total_passive = passive_surcharge + passive_backfill (kN)</t>
        </is>
      </c>
      <c r="B16" s="12">
        <f>B12+B15</f>
        <v/>
      </c>
    </row>
    <row r="17">
      <c r="A17" t="inlineStr">
        <is>
          <t>road_vertical = gamma_super * gamma_sd_ec * road_dev * road_udl_char * B_ext (kN)</t>
        </is>
      </c>
      <c r="B17" s="12">
        <f>Superimposed_inf_SLS*1*road_dev_fav*B8*B_ext</f>
        <v/>
      </c>
    </row>
    <row r="18">
      <c r="A18" t="inlineStr">
        <is>
          <t>fill_vertical = gamma_super * gamma_sd_ec * fill_udl_char * B_ext (kN)</t>
        </is>
      </c>
      <c r="B18" s="12">
        <f>Superimposed_inf_SLS*1*B9*B_ext</f>
        <v/>
      </c>
    </row>
    <row r="19">
      <c r="A19" t="inlineStr">
        <is>
          <t>self_weight_vertical = gamma_self * W_box (kN)</t>
        </is>
      </c>
      <c r="B19" s="12">
        <f>SelfWeight_inf_SLS*W_box</f>
        <v/>
      </c>
    </row>
    <row r="20">
      <c r="A20" t="inlineStr">
        <is>
          <t>common_vertical = road_vertical + fill_vertical + self_weight_vertical (kN)</t>
        </is>
      </c>
      <c r="B20" s="12">
        <f>B17+B18+B19</f>
        <v/>
      </c>
    </row>
    <row r="21">
      <c r="A21" s="3" t="inlineStr">
        <is>
          <t>LM1 Scenario — SLS</t>
        </is>
      </c>
      <c r="B21" s="4" t="n"/>
      <c r="C21" s="4" t="n"/>
      <c r="D21" s="4" t="n"/>
      <c r="E21" s="4" t="n"/>
      <c r="F21" s="4" t="n"/>
    </row>
    <row r="22">
      <c r="A22" t="inlineStr">
        <is>
          <t>active_line_load = Ka_traffic*gamma_Q*F_hll_1m_coeff (kN)</t>
        </is>
      </c>
      <c r="B22" s="12">
        <f>Ka_traffic_SLS*RoadTraffic_sup_SLS*F_hll_1m_coeff</f>
        <v/>
      </c>
    </row>
    <row r="23">
      <c r="A23" t="inlineStr">
        <is>
          <t>active_udl = Ka_traffic*gamma_Q*20*H_ext (kN)</t>
        </is>
      </c>
      <c r="B23" s="12">
        <f>Ka_traffic_SLS*RoadTraffic_sup_SLS*20.0*H_ext</f>
        <v/>
      </c>
    </row>
    <row r="24">
      <c r="A24" t="inlineStr">
        <is>
          <t>braking_char (kN)</t>
        </is>
      </c>
      <c r="B24" s="12">
        <f>Q_lk/L_L</f>
        <v/>
      </c>
    </row>
    <row r="25">
      <c r="A25" t="inlineStr">
        <is>
          <t>braking = gamma_Q * braking_char (kN)</t>
        </is>
      </c>
      <c r="B25" s="12">
        <f>RoadTraffic_sup_SLS*B24</f>
        <v/>
      </c>
    </row>
    <row r="26">
      <c r="A26" t="inlineStr">
        <is>
          <t>total_active = active_surcharge+active_backfill+active_line_load+active_udl+braking (kN)</t>
        </is>
      </c>
      <c r="B26" s="12">
        <f>B11+B14+B22+B23+B25</f>
        <v/>
      </c>
    </row>
    <row r="27">
      <c r="A27" t="inlineStr">
        <is>
          <t>vertical_char (kN)</t>
        </is>
      </c>
      <c r="B27" s="12">
        <f>lane1_udl*B_ext+patch_load*disp_m*2</f>
        <v/>
      </c>
    </row>
    <row r="28">
      <c r="A28" t="inlineStr">
        <is>
          <t>vertical = gamma_Q * vertical_char (kN)</t>
        </is>
      </c>
      <c r="B28" s="12">
        <f>RoadTraffic_sup_SLS*B27</f>
        <v/>
      </c>
    </row>
    <row r="29">
      <c r="A29" t="inlineStr">
        <is>
          <t>V_d = common_vertical + vertical (kN)</t>
        </is>
      </c>
      <c r="B29" s="12">
        <f>B20+B28</f>
        <v/>
      </c>
    </row>
    <row r="30">
      <c r="A30" t="inlineStr">
        <is>
          <t>delta_d = ATAN(TAN(RADIANS(phi_founding))/gamma_M) (deg)</t>
        </is>
      </c>
      <c r="B30" s="12">
        <f>DEGREES(ATAN(TAN(RADIANS(phi_founding))/MaterialM_SLS))</f>
        <v/>
      </c>
    </row>
    <row r="31">
      <c r="A31" t="inlineStr">
        <is>
          <t>max_Rd = V_d * TAN(RADIANS(delta_d)) (kN)</t>
        </is>
      </c>
      <c r="B31" s="12">
        <f>B29*TAN(RADIANS(B30))</f>
        <v/>
      </c>
    </row>
    <row r="32">
      <c r="A32" t="inlineStr">
        <is>
          <t>friction_required = total_active - total_passive (kN)</t>
        </is>
      </c>
      <c r="B32" s="12">
        <f>B26-B16</f>
        <v/>
      </c>
    </row>
    <row r="33">
      <c r="A33" t="inlineStr">
        <is>
          <t>SLIDING margin = max_Rd - friction_required (kN)</t>
        </is>
      </c>
      <c r="B33" s="12">
        <f>B31-B32</f>
        <v/>
      </c>
    </row>
    <row r="34">
      <c r="A34" t="inlineStr">
        <is>
          <t>Sliding OK? (margin &gt;= 0)</t>
        </is>
      </c>
      <c r="B34">
        <f>B33&gt;=0</f>
        <v/>
      </c>
    </row>
    <row r="35">
      <c r="A35" t="inlineStr">
        <is>
          <t>UR_sliding = MAX(0,friction_required)/max_Rd (%)</t>
        </is>
      </c>
      <c r="B35" s="11">
        <f>MAX(0,B32)/B31*100</f>
        <v/>
      </c>
    </row>
    <row r="36">
      <c r="A36" t="inlineStr">
        <is>
          <t>M_active = act_surch*(H_ext/2)+act_bkfl*(H_ext/3)+line_load*H_ext+udl*(H_ext/2)+braking*H_ext (kNm)</t>
        </is>
      </c>
      <c r="B36" s="12">
        <f>B11*(H_ext/2)+B14*(H_ext/3)+B22*H_ext+B23*(H_ext/2)+B25*H_ext</f>
        <v/>
      </c>
    </row>
    <row r="37">
      <c r="A37" t="inlineStr">
        <is>
          <t>M_passive = pass_surch*(H_ext/2) + pass_bkfl*(H_ext/3) (kNm)</t>
        </is>
      </c>
      <c r="B37" s="12">
        <f>B12*(H_ext/2)+B15*(H_ext/3)</f>
        <v/>
      </c>
    </row>
    <row r="38">
      <c r="A38" t="inlineStr">
        <is>
          <t>M_driving = MAX(0, M_active - M_passive) (kNm)</t>
        </is>
      </c>
      <c r="B38" s="12">
        <f>MAX(0,B36-B37)</f>
        <v/>
      </c>
    </row>
    <row r="39">
      <c r="A39" t="inlineStr">
        <is>
          <t>M_stabilizing = V_d * B_ext/2 (kNm)</t>
        </is>
      </c>
      <c r="B39" s="12">
        <f>B29*B_ext/2</f>
        <v/>
      </c>
    </row>
    <row r="40">
      <c r="A40" t="inlineStr">
        <is>
          <t>OVERTURNING margin = M_stabilizing - M_driving (kNm)</t>
        </is>
      </c>
      <c r="B40" s="12">
        <f>B39-B38</f>
        <v/>
      </c>
    </row>
    <row r="41">
      <c r="A41" t="inlineStr">
        <is>
          <t>Overturning OK? (ot_margin &gt;= 0)</t>
        </is>
      </c>
      <c r="B41">
        <f>B40&gt;=0</f>
        <v/>
      </c>
    </row>
    <row r="42">
      <c r="A42" t="inlineStr">
        <is>
          <t>UR_overturning = MAX(0,M_driving)/M_stabilizing (%)</t>
        </is>
      </c>
      <c r="B42" s="11">
        <f>MAX(0,B38)/B39*100</f>
        <v/>
      </c>
    </row>
    <row r="43">
      <c r="A43" s="3" t="inlineStr">
        <is>
          <t>LM3 Scenario — SLS</t>
        </is>
      </c>
      <c r="B43" s="4" t="n"/>
      <c r="C43" s="4" t="n"/>
      <c r="D43" s="4" t="n"/>
      <c r="E43" s="4" t="n"/>
      <c r="F43" s="4" t="n"/>
    </row>
    <row r="44">
      <c r="A44" t="inlineStr">
        <is>
          <t>active_line_load = Ka_traffic*gamma_Q*F_hll_1m_coeff (kN)</t>
        </is>
      </c>
      <c r="B44" s="12">
        <f>Ka_traffic_SLS*RoadTraffic_sup_SLS*F_hll_1m_coeff</f>
        <v/>
      </c>
    </row>
    <row r="45">
      <c r="A45" t="inlineStr">
        <is>
          <t>active_udl = Ka_traffic*gamma_Q*30*H_ext (kN)</t>
        </is>
      </c>
      <c r="B45" s="12">
        <f>Ka_traffic_SLS*RoadTraffic_sup_SLS*30.0*H_ext</f>
        <v/>
      </c>
    </row>
    <row r="46">
      <c r="A46" t="inlineStr">
        <is>
          <t>braking_char (kN)</t>
        </is>
      </c>
      <c r="B46" s="12">
        <f>Q_brk_per_m</f>
        <v/>
      </c>
    </row>
    <row r="47">
      <c r="A47" t="inlineStr">
        <is>
          <t>braking = gamma_Q * braking_char (kN)</t>
        </is>
      </c>
      <c r="B47" s="12">
        <f>RoadTraffic_sup_SLS*B46</f>
        <v/>
      </c>
    </row>
    <row r="48">
      <c r="A48" t="inlineStr">
        <is>
          <t>total_active = active_surcharge+active_backfill+active_line_load+active_udl+braking (kN)</t>
        </is>
      </c>
      <c r="B48" s="12">
        <f>B11+B14+B44+B45+B47</f>
        <v/>
      </c>
    </row>
    <row r="49">
      <c r="A49" t="inlineStr">
        <is>
          <t>vertical_char (kN)</t>
        </is>
      </c>
      <c r="B49" s="12">
        <f>max_V_per_m</f>
        <v/>
      </c>
    </row>
    <row r="50">
      <c r="A50" t="inlineStr">
        <is>
          <t>vertical = gamma_Q * vertical_char (kN)</t>
        </is>
      </c>
      <c r="B50" s="12">
        <f>RoadTraffic_sup_SLS*B49</f>
        <v/>
      </c>
    </row>
    <row r="51">
      <c r="A51" t="inlineStr">
        <is>
          <t>V_d = common_vertical + vertical (kN)</t>
        </is>
      </c>
      <c r="B51" s="12">
        <f>B20+B50</f>
        <v/>
      </c>
    </row>
    <row r="52">
      <c r="A52" t="inlineStr">
        <is>
          <t>delta_d = ATAN(TAN(RADIANS(phi_founding))/gamma_M) (deg)</t>
        </is>
      </c>
      <c r="B52" s="12">
        <f>DEGREES(ATAN(TAN(RADIANS(phi_founding))/MaterialM_SLS))</f>
        <v/>
      </c>
    </row>
    <row r="53">
      <c r="A53" t="inlineStr">
        <is>
          <t>max_Rd = V_d * TAN(RADIANS(delta_d)) (kN)</t>
        </is>
      </c>
      <c r="B53" s="12">
        <f>B51*TAN(RADIANS(B52))</f>
        <v/>
      </c>
    </row>
    <row r="54">
      <c r="A54" t="inlineStr">
        <is>
          <t>friction_required = total_active - total_passive (kN)</t>
        </is>
      </c>
      <c r="B54" s="12">
        <f>B48-B16</f>
        <v/>
      </c>
    </row>
    <row r="55">
      <c r="A55" t="inlineStr">
        <is>
          <t>SLIDING margin = max_Rd - friction_required (kN)</t>
        </is>
      </c>
      <c r="B55" s="12">
        <f>B53-B54</f>
        <v/>
      </c>
    </row>
    <row r="56">
      <c r="A56" t="inlineStr">
        <is>
          <t>Sliding OK? (margin &gt;= 0)</t>
        </is>
      </c>
      <c r="B56">
        <f>B55&gt;=0</f>
        <v/>
      </c>
    </row>
    <row r="57">
      <c r="A57" t="inlineStr">
        <is>
          <t>UR_sliding = MAX(0,friction_required)/max_Rd (%)</t>
        </is>
      </c>
      <c r="B57" s="11">
        <f>MAX(0,B54)/B53*100</f>
        <v/>
      </c>
    </row>
    <row r="58">
      <c r="A58" t="inlineStr">
        <is>
          <t>M_active = act_surch*(H_ext/2)+act_bkfl*(H_ext/3)+line_load*H_ext+udl*(H_ext/2)+braking*H_ext (kNm)</t>
        </is>
      </c>
      <c r="B58" s="12">
        <f>B11*(H_ext/2)+B14*(H_ext/3)+B44*H_ext+B45*(H_ext/2)+B47*H_ext</f>
        <v/>
      </c>
    </row>
    <row r="59">
      <c r="A59" t="inlineStr">
        <is>
          <t>M_passive = pass_surch*(H_ext/2) + pass_bkfl*(H_ext/3) (kNm)</t>
        </is>
      </c>
      <c r="B59" s="12">
        <f>B12*(H_ext/2)+B15*(H_ext/3)</f>
        <v/>
      </c>
    </row>
    <row r="60">
      <c r="A60" t="inlineStr">
        <is>
          <t>M_driving = MAX(0, M_active - M_passive) (kNm)</t>
        </is>
      </c>
      <c r="B60" s="12">
        <f>MAX(0,B58-B59)</f>
        <v/>
      </c>
    </row>
    <row r="61">
      <c r="A61" t="inlineStr">
        <is>
          <t>M_stabilizing = V_d * B_ext/2 (kNm)</t>
        </is>
      </c>
      <c r="B61" s="12">
        <f>B51*B_ext/2</f>
        <v/>
      </c>
    </row>
    <row r="62">
      <c r="A62" t="inlineStr">
        <is>
          <t>OVERTURNING margin = M_stabilizing - M_driving (kNm)</t>
        </is>
      </c>
      <c r="B62" s="12">
        <f>B61-B60</f>
        <v/>
      </c>
    </row>
    <row r="63">
      <c r="A63" t="inlineStr">
        <is>
          <t>Overturning OK? (ot_margin &gt;= 0)</t>
        </is>
      </c>
      <c r="B63">
        <f>B62&gt;=0</f>
        <v/>
      </c>
    </row>
    <row r="64">
      <c r="A64" t="inlineStr">
        <is>
          <t>UR_overturning = MAX(0,M_driving)/M_stabilizing (%)</t>
        </is>
      </c>
      <c r="B64" s="11">
        <f>MAX(0,B60)/B61*100</f>
        <v/>
      </c>
    </row>
    <row r="65">
      <c r="A65" t="inlineStr">
        <is>
          <t>Governing (sliding) — LM1 if its margin is smaller</t>
        </is>
      </c>
      <c r="B65">
        <f>IF(B33&lt;B55,"LM1","LM3")</f>
        <v/>
      </c>
    </row>
    <row r="66">
      <c r="A66" t="inlineStr">
        <is>
          <t>Governing (overturning) — LM1 if its margin is smaller</t>
        </is>
      </c>
      <c r="B66">
        <f>IF(B40&lt;B62,"LM1","LM3")</f>
        <v/>
      </c>
    </row>
    <row r="68" ht="20" customHeight="1">
      <c r="A68" s="1" t="inlineStr">
        <is>
          <t>Sliding &amp; Overturning at EQU</t>
        </is>
      </c>
      <c r="B68" s="2" t="n"/>
    </row>
    <row r="70">
      <c r="A70" s="3" t="inlineStr">
        <is>
          <t>Common Terms — EQU (favourable/min)</t>
        </is>
      </c>
      <c r="B70" s="4" t="n"/>
      <c r="C70" s="4" t="n"/>
      <c r="D70" s="4" t="n"/>
      <c r="E70" s="4" t="n"/>
      <c r="F70" s="4" t="n"/>
    </row>
    <row r="71">
      <c r="A71" t="inlineStr">
        <is>
          <t>road_udl_char = UDL_1 (kN/m)</t>
        </is>
      </c>
      <c r="B71" s="12">
        <f>UDL_1</f>
        <v/>
      </c>
    </row>
    <row r="72">
      <c r="A72" t="inlineStr">
        <is>
          <t>fill_udl_char = UDL_total - UDL_1 (kN/m)</t>
        </is>
      </c>
      <c r="B72" s="12">
        <f>UDL_total-UDL_1</f>
        <v/>
      </c>
    </row>
    <row r="73">
      <c r="A73" t="inlineStr">
        <is>
          <t>surcharge_road = road_dev * road_udl_char (kN/m)</t>
        </is>
      </c>
      <c r="B73" s="12">
        <f>road_dev_fav*B71</f>
        <v/>
      </c>
    </row>
    <row r="74">
      <c r="A74" t="inlineStr">
        <is>
          <t>active_surcharge = Ka_earth*gamma_super*(surcharge_road+fill_udl_char)*H_ext (kN)</t>
        </is>
      </c>
      <c r="B74" s="12">
        <f>Ka_earth_EQU*Superimposed_inf_EQU*(B73+B72)*H_ext</f>
        <v/>
      </c>
    </row>
    <row r="75">
      <c r="A75" t="inlineStr">
        <is>
          <t>passive_surcharge = Kmax*gamma_super*(surcharge_road+fill_udl_char)*H_ext (kN)</t>
        </is>
      </c>
      <c r="B75" s="12">
        <f>Kmax_EQU*Superimposed_inf_EQU*(B73+B72)*H_ext</f>
        <v/>
      </c>
    </row>
    <row r="76">
      <c r="A76" t="inlineStr">
        <is>
          <t>backfill_pressure = gamma_backfill * H_ext (kN/m2)</t>
        </is>
      </c>
      <c r="B76" s="12">
        <f>gamma_backfill*H_ext</f>
        <v/>
      </c>
    </row>
    <row r="77">
      <c r="A77" t="inlineStr">
        <is>
          <t>active_backfill = Ka_earth*gamma_self*backfill_pressure*H_ext/2 (kN)</t>
        </is>
      </c>
      <c r="B77" s="12">
        <f>Ka_earth_EQU*SelfWeight_inf_EQU*B76*H_ext/2</f>
        <v/>
      </c>
    </row>
    <row r="78">
      <c r="A78" t="inlineStr">
        <is>
          <t>passive_backfill = Kmax*gamma_self*backfill_pressure*H_ext/2 (kN)</t>
        </is>
      </c>
      <c r="B78" s="12">
        <f>Kmax_EQU*SelfWeight_inf_EQU*B76*H_ext/2</f>
        <v/>
      </c>
    </row>
    <row r="79">
      <c r="A79" t="inlineStr">
        <is>
          <t>total_passive = passive_surcharge + passive_backfill (kN)</t>
        </is>
      </c>
      <c r="B79" s="12">
        <f>B75+B78</f>
        <v/>
      </c>
    </row>
    <row r="80">
      <c r="A80" t="inlineStr">
        <is>
          <t>road_vertical = gamma_super * gamma_sd_ec * road_dev * road_udl_char * B_ext (kN)</t>
        </is>
      </c>
      <c r="B80" s="12">
        <f>Superimposed_inf_EQU*1*road_dev_fav*B71*B_ext</f>
        <v/>
      </c>
    </row>
    <row r="81">
      <c r="A81" t="inlineStr">
        <is>
          <t>fill_vertical = gamma_super * gamma_sd_ec * fill_udl_char * B_ext (kN)</t>
        </is>
      </c>
      <c r="B81" s="12">
        <f>Superimposed_inf_EQU*1*B72*B_ext</f>
        <v/>
      </c>
    </row>
    <row r="82">
      <c r="A82" t="inlineStr">
        <is>
          <t>self_weight_vertical = gamma_self * W_box (kN)</t>
        </is>
      </c>
      <c r="B82" s="12">
        <f>SelfWeight_inf_EQU*W_box</f>
        <v/>
      </c>
    </row>
    <row r="83">
      <c r="A83" t="inlineStr">
        <is>
          <t>common_vertical = road_vertical + fill_vertical + self_weight_vertical (kN)</t>
        </is>
      </c>
      <c r="B83" s="12">
        <f>B80+B81+B82</f>
        <v/>
      </c>
    </row>
    <row r="84">
      <c r="A84" s="3" t="inlineStr">
        <is>
          <t>LM1 Scenario — EQU</t>
        </is>
      </c>
      <c r="B84" s="4" t="n"/>
      <c r="C84" s="4" t="n"/>
      <c r="D84" s="4" t="n"/>
      <c r="E84" s="4" t="n"/>
      <c r="F84" s="4" t="n"/>
    </row>
    <row r="85">
      <c r="A85" t="inlineStr">
        <is>
          <t>active_line_load = Ka_traffic*gamma_Q*F_hll_1m_coeff (kN)</t>
        </is>
      </c>
      <c r="B85" s="12">
        <f>Ka_traffic_EQU*RoadTraffic_sup_EQU*F_hll_1m_coeff</f>
        <v/>
      </c>
    </row>
    <row r="86">
      <c r="A86" t="inlineStr">
        <is>
          <t>active_udl = Ka_traffic*gamma_Q*20*H_ext (kN)</t>
        </is>
      </c>
      <c r="B86" s="12">
        <f>Ka_traffic_EQU*RoadTraffic_sup_EQU*20.0*H_ext</f>
        <v/>
      </c>
    </row>
    <row r="87">
      <c r="A87" t="inlineStr">
        <is>
          <t>braking_char (kN)</t>
        </is>
      </c>
      <c r="B87" s="12">
        <f>Q_lk/L_L</f>
        <v/>
      </c>
    </row>
    <row r="88">
      <c r="A88" t="inlineStr">
        <is>
          <t>braking = gamma_Q * braking_char (kN)</t>
        </is>
      </c>
      <c r="B88" s="12">
        <f>RoadTraffic_sup_EQU*B87</f>
        <v/>
      </c>
    </row>
    <row r="89">
      <c r="A89" t="inlineStr">
        <is>
          <t>total_active = active_surcharge+active_backfill+active_line_load+active_udl+braking (kN)</t>
        </is>
      </c>
      <c r="B89" s="12">
        <f>B74+B77+B85+B86+B88</f>
        <v/>
      </c>
    </row>
    <row r="90">
      <c r="A90" t="inlineStr">
        <is>
          <t>vertical_char (kN)</t>
        </is>
      </c>
      <c r="B90" s="12">
        <f>lane1_udl*B_ext+patch_load*disp_m*2</f>
        <v/>
      </c>
    </row>
    <row r="91">
      <c r="A91" t="inlineStr">
        <is>
          <t>vertical = gamma_Q * vertical_char (kN)</t>
        </is>
      </c>
      <c r="B91" s="12">
        <f>RoadTraffic_sup_EQU*B90</f>
        <v/>
      </c>
    </row>
    <row r="92">
      <c r="A92" t="inlineStr">
        <is>
          <t>V_d = common_vertical + vertical (kN)</t>
        </is>
      </c>
      <c r="B92" s="12">
        <f>B83+B91</f>
        <v/>
      </c>
    </row>
    <row r="93">
      <c r="A93" t="inlineStr">
        <is>
          <t>delta_d = ATAN(TAN(RADIANS(phi_founding))/gamma_M) (deg)</t>
        </is>
      </c>
      <c r="B93" s="12">
        <f>DEGREES(ATAN(TAN(RADIANS(phi_founding))/MaterialM_EQU))</f>
        <v/>
      </c>
    </row>
    <row r="94">
      <c r="A94" t="inlineStr">
        <is>
          <t>max_Rd = V_d * TAN(RADIANS(delta_d)) (kN)</t>
        </is>
      </c>
      <c r="B94" s="12">
        <f>B92*TAN(RADIANS(B93))</f>
        <v/>
      </c>
    </row>
    <row r="95">
      <c r="A95" t="inlineStr">
        <is>
          <t>friction_required = total_active - total_passive (kN)</t>
        </is>
      </c>
      <c r="B95" s="12">
        <f>B89-B79</f>
        <v/>
      </c>
    </row>
    <row r="96">
      <c r="A96" t="inlineStr">
        <is>
          <t>SLIDING margin = max_Rd - friction_required (kN)</t>
        </is>
      </c>
      <c r="B96" s="12">
        <f>B94-B95</f>
        <v/>
      </c>
    </row>
    <row r="97">
      <c r="A97" t="inlineStr">
        <is>
          <t>Sliding OK? (margin &gt;= 0)</t>
        </is>
      </c>
      <c r="B97">
        <f>B96&gt;=0</f>
        <v/>
      </c>
    </row>
    <row r="98">
      <c r="A98" t="inlineStr">
        <is>
          <t>UR_sliding = MAX(0,friction_required)/max_Rd (%)</t>
        </is>
      </c>
      <c r="B98" s="11">
        <f>MAX(0,B95)/B94*100</f>
        <v/>
      </c>
    </row>
    <row r="99">
      <c r="A99" t="inlineStr">
        <is>
          <t>M_active = act_surch*(H_ext/2)+act_bkfl*(H_ext/3)+line_load*H_ext+udl*(H_ext/2)+braking*H_ext (kNm)</t>
        </is>
      </c>
      <c r="B99" s="12">
        <f>B74*(H_ext/2)+B77*(H_ext/3)+B85*H_ext+B86*(H_ext/2)+B88*H_ext</f>
        <v/>
      </c>
    </row>
    <row r="100">
      <c r="A100" t="inlineStr">
        <is>
          <t>M_passive = pass_surch*(H_ext/2) + pass_bkfl*(H_ext/3) (kNm)</t>
        </is>
      </c>
      <c r="B100" s="12">
        <f>B75*(H_ext/2)+B78*(H_ext/3)</f>
        <v/>
      </c>
    </row>
    <row r="101">
      <c r="A101" t="inlineStr">
        <is>
          <t>M_driving = MAX(0, M_active - M_passive) (kNm)</t>
        </is>
      </c>
      <c r="B101" s="12">
        <f>MAX(0,B99-B100)</f>
        <v/>
      </c>
    </row>
    <row r="102">
      <c r="A102" t="inlineStr">
        <is>
          <t>M_stabilizing = V_d * B_ext/2 (kNm)</t>
        </is>
      </c>
      <c r="B102" s="12">
        <f>B92*B_ext/2</f>
        <v/>
      </c>
    </row>
    <row r="103">
      <c r="A103" t="inlineStr">
        <is>
          <t>OVERTURNING margin = M_stabilizing - M_driving (kNm)</t>
        </is>
      </c>
      <c r="B103" s="12">
        <f>B102-B101</f>
        <v/>
      </c>
    </row>
    <row r="104">
      <c r="A104" t="inlineStr">
        <is>
          <t>Overturning OK? (ot_margin &gt;= 0)</t>
        </is>
      </c>
      <c r="B104">
        <f>B103&gt;=0</f>
        <v/>
      </c>
    </row>
    <row r="105">
      <c r="A105" t="inlineStr">
        <is>
          <t>UR_overturning = MAX(0,M_driving)/M_stabilizing (%)</t>
        </is>
      </c>
      <c r="B105" s="11">
        <f>MAX(0,B101)/B102*100</f>
        <v/>
      </c>
    </row>
    <row r="106">
      <c r="A106" s="3" t="inlineStr">
        <is>
          <t>LM3 Scenario — EQU</t>
        </is>
      </c>
      <c r="B106" s="4" t="n"/>
      <c r="C106" s="4" t="n"/>
      <c r="D106" s="4" t="n"/>
      <c r="E106" s="4" t="n"/>
      <c r="F106" s="4" t="n"/>
    </row>
    <row r="107">
      <c r="A107" t="inlineStr">
        <is>
          <t>active_line_load = Ka_traffic*gamma_Q*F_hll_1m_coeff (kN)</t>
        </is>
      </c>
      <c r="B107" s="12">
        <f>Ka_traffic_EQU*RoadTraffic_sup_EQU*F_hll_1m_coeff</f>
        <v/>
      </c>
    </row>
    <row r="108">
      <c r="A108" t="inlineStr">
        <is>
          <t>active_udl = Ka_traffic*gamma_Q*30*H_ext (kN)</t>
        </is>
      </c>
      <c r="B108" s="12">
        <f>Ka_traffic_EQU*RoadTraffic_sup_EQU*30.0*H_ext</f>
        <v/>
      </c>
    </row>
    <row r="109">
      <c r="A109" t="inlineStr">
        <is>
          <t>braking_char (kN)</t>
        </is>
      </c>
      <c r="B109" s="12">
        <f>Q_brk_per_m</f>
        <v/>
      </c>
    </row>
    <row r="110">
      <c r="A110" t="inlineStr">
        <is>
          <t>braking = gamma_Q * braking_char (kN)</t>
        </is>
      </c>
      <c r="B110" s="12">
        <f>RoadTraffic_sup_EQU*B109</f>
        <v/>
      </c>
    </row>
    <row r="111">
      <c r="A111" t="inlineStr">
        <is>
          <t>total_active = active_surcharge+active_backfill+active_line_load+active_udl+braking (kN)</t>
        </is>
      </c>
      <c r="B111" s="12">
        <f>B74+B77+B107+B108+B110</f>
        <v/>
      </c>
    </row>
    <row r="112">
      <c r="A112" t="inlineStr">
        <is>
          <t>vertical_char (kN)</t>
        </is>
      </c>
      <c r="B112" s="12">
        <f>max_V_per_m</f>
        <v/>
      </c>
    </row>
    <row r="113">
      <c r="A113" t="inlineStr">
        <is>
          <t>vertical = gamma_Q * vertical_char (kN)</t>
        </is>
      </c>
      <c r="B113" s="12">
        <f>RoadTraffic_sup_EQU*B112</f>
        <v/>
      </c>
    </row>
    <row r="114">
      <c r="A114" t="inlineStr">
        <is>
          <t>V_d = common_vertical + vertical (kN)</t>
        </is>
      </c>
      <c r="B114" s="12">
        <f>B83+B113</f>
        <v/>
      </c>
    </row>
    <row r="115">
      <c r="A115" t="inlineStr">
        <is>
          <t>delta_d = ATAN(TAN(RADIANS(phi_founding))/gamma_M) (deg)</t>
        </is>
      </c>
      <c r="B115" s="12">
        <f>DEGREES(ATAN(TAN(RADIANS(phi_founding))/MaterialM_EQU))</f>
        <v/>
      </c>
    </row>
    <row r="116">
      <c r="A116" t="inlineStr">
        <is>
          <t>max_Rd = V_d * TAN(RADIANS(delta_d)) (kN)</t>
        </is>
      </c>
      <c r="B116" s="12">
        <f>B114*TAN(RADIANS(B115))</f>
        <v/>
      </c>
    </row>
    <row r="117">
      <c r="A117" t="inlineStr">
        <is>
          <t>friction_required = total_active - total_passive (kN)</t>
        </is>
      </c>
      <c r="B117" s="12">
        <f>B111-B79</f>
        <v/>
      </c>
    </row>
    <row r="118">
      <c r="A118" t="inlineStr">
        <is>
          <t>SLIDING margin = max_Rd - friction_required (kN)</t>
        </is>
      </c>
      <c r="B118" s="12">
        <f>B116-B117</f>
        <v/>
      </c>
    </row>
    <row r="119">
      <c r="A119" t="inlineStr">
        <is>
          <t>Sliding OK? (margin &gt;= 0)</t>
        </is>
      </c>
      <c r="B119">
        <f>B118&gt;=0</f>
        <v/>
      </c>
    </row>
    <row r="120">
      <c r="A120" t="inlineStr">
        <is>
          <t>UR_sliding = MAX(0,friction_required)/max_Rd (%)</t>
        </is>
      </c>
      <c r="B120" s="11">
        <f>MAX(0,B117)/B116*100</f>
        <v/>
      </c>
    </row>
    <row r="121">
      <c r="A121" t="inlineStr">
        <is>
          <t>M_active = act_surch*(H_ext/2)+act_bkfl*(H_ext/3)+line_load*H_ext+udl*(H_ext/2)+braking*H_ext (kNm)</t>
        </is>
      </c>
      <c r="B121" s="12">
        <f>B74*(H_ext/2)+B77*(H_ext/3)+B107*H_ext+B108*(H_ext/2)+B110*H_ext</f>
        <v/>
      </c>
    </row>
    <row r="122">
      <c r="A122" t="inlineStr">
        <is>
          <t>M_passive = pass_surch*(H_ext/2) + pass_bkfl*(H_ext/3) (kNm)</t>
        </is>
      </c>
      <c r="B122" s="12">
        <f>B75*(H_ext/2)+B78*(H_ext/3)</f>
        <v/>
      </c>
    </row>
    <row r="123">
      <c r="A123" t="inlineStr">
        <is>
          <t>M_driving = MAX(0, M_active - M_passive) (kNm)</t>
        </is>
      </c>
      <c r="B123" s="12">
        <f>MAX(0,B121-B122)</f>
        <v/>
      </c>
    </row>
    <row r="124">
      <c r="A124" t="inlineStr">
        <is>
          <t>M_stabilizing = V_d * B_ext/2 (kNm)</t>
        </is>
      </c>
      <c r="B124" s="12">
        <f>B114*B_ext/2</f>
        <v/>
      </c>
    </row>
    <row r="125">
      <c r="A125" t="inlineStr">
        <is>
          <t>OVERTURNING margin = M_stabilizing - M_driving (kNm)</t>
        </is>
      </c>
      <c r="B125" s="12">
        <f>B124-B123</f>
        <v/>
      </c>
    </row>
    <row r="126">
      <c r="A126" t="inlineStr">
        <is>
          <t>Overturning OK? (ot_margin &gt;= 0)</t>
        </is>
      </c>
      <c r="B126">
        <f>B125&gt;=0</f>
        <v/>
      </c>
    </row>
    <row r="127">
      <c r="A127" t="inlineStr">
        <is>
          <t>UR_overturning = MAX(0,M_driving)/M_stabilizing (%)</t>
        </is>
      </c>
      <c r="B127" s="11">
        <f>MAX(0,B123)/B124*100</f>
        <v/>
      </c>
    </row>
    <row r="128">
      <c r="A128" t="inlineStr">
        <is>
          <t>Governing (sliding) — LM1 if its margin is smaller</t>
        </is>
      </c>
      <c r="B128">
        <f>IF(B96&lt;B118,"LM1","LM3")</f>
        <v/>
      </c>
    </row>
    <row r="129">
      <c r="A129" t="inlineStr">
        <is>
          <t>Governing (overturning) — LM1 if its margin is smaller</t>
        </is>
      </c>
      <c r="B129">
        <f>IF(B103&lt;B125,"LM1","LM3")</f>
        <v/>
      </c>
    </row>
    <row r="131" ht="20" customHeight="1">
      <c r="A131" s="1" t="inlineStr">
        <is>
          <t>Sliding &amp; Overturning at STR/GEO Comb1</t>
        </is>
      </c>
      <c r="B131" s="2" t="n"/>
    </row>
    <row r="133">
      <c r="A133" s="3" t="inlineStr">
        <is>
          <t>Common Terms — STR/GEO Comb1 (favourable/min)</t>
        </is>
      </c>
      <c r="B133" s="4" t="n"/>
      <c r="C133" s="4" t="n"/>
      <c r="D133" s="4" t="n"/>
      <c r="E133" s="4" t="n"/>
      <c r="F133" s="4" t="n"/>
    </row>
    <row r="134">
      <c r="A134" t="inlineStr">
        <is>
          <t>road_udl_char = UDL_1 (kN/m)</t>
        </is>
      </c>
      <c r="B134" s="12">
        <f>UDL_1</f>
        <v/>
      </c>
    </row>
    <row r="135">
      <c r="A135" t="inlineStr">
        <is>
          <t>fill_udl_char = UDL_total - UDL_1 (kN/m)</t>
        </is>
      </c>
      <c r="B135" s="12">
        <f>UDL_total-UDL_1</f>
        <v/>
      </c>
    </row>
    <row r="136">
      <c r="A136" t="inlineStr">
        <is>
          <t>surcharge_road = road_dev * road_udl_char (kN/m)</t>
        </is>
      </c>
      <c r="B136" s="12">
        <f>road_dev_fav*B134</f>
        <v/>
      </c>
    </row>
    <row r="137">
      <c r="A137" t="inlineStr">
        <is>
          <t>active_surcharge = Ka_earth*gamma_super*(surcharge_road+fill_udl_char)*H_ext (kN)</t>
        </is>
      </c>
      <c r="B137" s="12">
        <f>Ka_earth_STR_GEO_Comb1*Superimposed_inf_STR_GEO_Comb1*(B136+B135)*H_ext</f>
        <v/>
      </c>
    </row>
    <row r="138">
      <c r="A138" t="inlineStr">
        <is>
          <t>passive_surcharge = Kmax*gamma_super*(surcharge_road+fill_udl_char)*H_ext (kN)</t>
        </is>
      </c>
      <c r="B138" s="12">
        <f>Kmax_STR_GEO_Comb1*Superimposed_inf_STR_GEO_Comb1*(B136+B135)*H_ext</f>
        <v/>
      </c>
    </row>
    <row r="139">
      <c r="A139" t="inlineStr">
        <is>
          <t>backfill_pressure = gamma_backfill * H_ext (kN/m2)</t>
        </is>
      </c>
      <c r="B139" s="12">
        <f>gamma_backfill*H_ext</f>
        <v/>
      </c>
    </row>
    <row r="140">
      <c r="A140" t="inlineStr">
        <is>
          <t>active_backfill = Ka_earth*gamma_self*backfill_pressure*H_ext/2 (kN)</t>
        </is>
      </c>
      <c r="B140" s="12">
        <f>Ka_earth_STR_GEO_Comb1*SelfWeight_inf_STR_GEO_Comb1*B139*H_ext/2</f>
        <v/>
      </c>
    </row>
    <row r="141">
      <c r="A141" t="inlineStr">
        <is>
          <t>passive_backfill = Kmax*gamma_self*backfill_pressure*H_ext/2 (kN)</t>
        </is>
      </c>
      <c r="B141" s="12">
        <f>Kmax_STR_GEO_Comb1*SelfWeight_inf_STR_GEO_Comb1*B139*H_ext/2</f>
        <v/>
      </c>
    </row>
    <row r="142">
      <c r="A142" t="inlineStr">
        <is>
          <t>total_passive = passive_surcharge + passive_backfill (kN)</t>
        </is>
      </c>
      <c r="B142" s="12">
        <f>B138+B141</f>
        <v/>
      </c>
    </row>
    <row r="143">
      <c r="A143" t="inlineStr">
        <is>
          <t>road_vertical = gamma_super * gamma_sd_ec * road_dev * road_udl_char * B_ext (kN)</t>
        </is>
      </c>
      <c r="B143" s="12">
        <f>Superimposed_inf_STR_GEO_Comb1*1*road_dev_fav*B134*B_ext</f>
        <v/>
      </c>
    </row>
    <row r="144">
      <c r="A144" t="inlineStr">
        <is>
          <t>fill_vertical = gamma_super * gamma_sd_ec * fill_udl_char * B_ext (kN)</t>
        </is>
      </c>
      <c r="B144" s="12">
        <f>Superimposed_inf_STR_GEO_Comb1*1*B135*B_ext</f>
        <v/>
      </c>
    </row>
    <row r="145">
      <c r="A145" t="inlineStr">
        <is>
          <t>self_weight_vertical = gamma_self * W_box (kN)</t>
        </is>
      </c>
      <c r="B145" s="12">
        <f>SelfWeight_inf_STR_GEO_Comb1*W_box</f>
        <v/>
      </c>
    </row>
    <row r="146">
      <c r="A146" t="inlineStr">
        <is>
          <t>common_vertical = road_vertical + fill_vertical + self_weight_vertical (kN)</t>
        </is>
      </c>
      <c r="B146" s="12">
        <f>B143+B144+B145</f>
        <v/>
      </c>
    </row>
    <row r="147">
      <c r="A147" s="3" t="inlineStr">
        <is>
          <t>LM1 Scenario — STR/GEO Comb1</t>
        </is>
      </c>
      <c r="B147" s="4" t="n"/>
      <c r="C147" s="4" t="n"/>
      <c r="D147" s="4" t="n"/>
      <c r="E147" s="4" t="n"/>
      <c r="F147" s="4" t="n"/>
    </row>
    <row r="148">
      <c r="A148" t="inlineStr">
        <is>
          <t>active_line_load = Ka_traffic*gamma_Q*F_hll_1m_coeff (kN)</t>
        </is>
      </c>
      <c r="B148" s="12">
        <f>Ka_traffic_STR_GEO_Comb1*RoadTraffic_sup_STR_GEO_Comb1*F_hll_1m_coeff</f>
        <v/>
      </c>
    </row>
    <row r="149">
      <c r="A149" t="inlineStr">
        <is>
          <t>active_udl = Ka_traffic*gamma_Q*20*H_ext (kN)</t>
        </is>
      </c>
      <c r="B149" s="12">
        <f>Ka_traffic_STR_GEO_Comb1*RoadTraffic_sup_STR_GEO_Comb1*20.0*H_ext</f>
        <v/>
      </c>
    </row>
    <row r="150">
      <c r="A150" t="inlineStr">
        <is>
          <t>braking_char (kN)</t>
        </is>
      </c>
      <c r="B150" s="12">
        <f>Q_lk/L_L</f>
        <v/>
      </c>
    </row>
    <row r="151">
      <c r="A151" t="inlineStr">
        <is>
          <t>braking = gamma_Q * braking_char (kN)</t>
        </is>
      </c>
      <c r="B151" s="12">
        <f>RoadTraffic_sup_STR_GEO_Comb1*B150</f>
        <v/>
      </c>
    </row>
    <row r="152">
      <c r="A152" t="inlineStr">
        <is>
          <t>total_active = active_surcharge+active_backfill+active_line_load+active_udl+braking (kN)</t>
        </is>
      </c>
      <c r="B152" s="12">
        <f>B137+B140+B148+B149+B151</f>
        <v/>
      </c>
    </row>
    <row r="153">
      <c r="A153" t="inlineStr">
        <is>
          <t>vertical_char (kN)</t>
        </is>
      </c>
      <c r="B153" s="12">
        <f>lane1_udl*B_ext+patch_load*disp_m*2</f>
        <v/>
      </c>
    </row>
    <row r="154">
      <c r="A154" t="inlineStr">
        <is>
          <t>vertical = gamma_Q * vertical_char (kN)</t>
        </is>
      </c>
      <c r="B154" s="12">
        <f>RoadTraffic_sup_STR_GEO_Comb1*B153</f>
        <v/>
      </c>
    </row>
    <row r="155">
      <c r="A155" t="inlineStr">
        <is>
          <t>V_d = common_vertical + vertical (kN)</t>
        </is>
      </c>
      <c r="B155" s="12">
        <f>B146+B154</f>
        <v/>
      </c>
    </row>
    <row r="156">
      <c r="A156" t="inlineStr">
        <is>
          <t>delta_d = ATAN(TAN(RADIANS(phi_founding))/gamma_M) (deg)</t>
        </is>
      </c>
      <c r="B156" s="12">
        <f>DEGREES(ATAN(TAN(RADIANS(phi_founding))/MaterialM_STR_GEO_Comb1))</f>
        <v/>
      </c>
    </row>
    <row r="157">
      <c r="A157" t="inlineStr">
        <is>
          <t>max_Rd = V_d * TAN(RADIANS(delta_d)) (kN)</t>
        </is>
      </c>
      <c r="B157" s="12">
        <f>B155*TAN(RADIANS(B156))</f>
        <v/>
      </c>
    </row>
    <row r="158">
      <c r="A158" t="inlineStr">
        <is>
          <t>friction_required = total_active - total_passive (kN)</t>
        </is>
      </c>
      <c r="B158" s="12">
        <f>B152-B142</f>
        <v/>
      </c>
    </row>
    <row r="159">
      <c r="A159" t="inlineStr">
        <is>
          <t>SLIDING margin = max_Rd - friction_required (kN)</t>
        </is>
      </c>
      <c r="B159" s="12">
        <f>B157-B158</f>
        <v/>
      </c>
    </row>
    <row r="160">
      <c r="A160" t="inlineStr">
        <is>
          <t>Sliding OK? (margin &gt;= 0)</t>
        </is>
      </c>
      <c r="B160">
        <f>B159&gt;=0</f>
        <v/>
      </c>
    </row>
    <row r="161">
      <c r="A161" t="inlineStr">
        <is>
          <t>UR_sliding = MAX(0,friction_required)/max_Rd (%)</t>
        </is>
      </c>
      <c r="B161" s="11">
        <f>MAX(0,B158)/B157*100</f>
        <v/>
      </c>
    </row>
    <row r="162">
      <c r="A162" t="inlineStr">
        <is>
          <t>M_active = act_surch*(H_ext/2)+act_bkfl*(H_ext/3)+line_load*H_ext+udl*(H_ext/2)+braking*H_ext (kNm)</t>
        </is>
      </c>
      <c r="B162" s="12">
        <f>B137*(H_ext/2)+B140*(H_ext/3)+B148*H_ext+B149*(H_ext/2)+B151*H_ext</f>
        <v/>
      </c>
    </row>
    <row r="163">
      <c r="A163" t="inlineStr">
        <is>
          <t>M_passive = pass_surch*(H_ext/2) + pass_bkfl*(H_ext/3) (kNm)</t>
        </is>
      </c>
      <c r="B163" s="12">
        <f>B138*(H_ext/2)+B141*(H_ext/3)</f>
        <v/>
      </c>
    </row>
    <row r="164">
      <c r="A164" t="inlineStr">
        <is>
          <t>M_driving = MAX(0, M_active - M_passive) (kNm)</t>
        </is>
      </c>
      <c r="B164" s="12">
        <f>MAX(0,B162-B163)</f>
        <v/>
      </c>
    </row>
    <row r="165">
      <c r="A165" t="inlineStr">
        <is>
          <t>M_stabilizing = V_d * B_ext/2 (kNm)</t>
        </is>
      </c>
      <c r="B165" s="12">
        <f>B155*B_ext/2</f>
        <v/>
      </c>
    </row>
    <row r="166">
      <c r="A166" t="inlineStr">
        <is>
          <t>OVERTURNING margin = M_stabilizing - M_driving (kNm)</t>
        </is>
      </c>
      <c r="B166" s="12">
        <f>B165-B164</f>
        <v/>
      </c>
    </row>
    <row r="167">
      <c r="A167" t="inlineStr">
        <is>
          <t>Overturning OK? (ot_margin &gt;= 0)</t>
        </is>
      </c>
      <c r="B167">
        <f>B166&gt;=0</f>
        <v/>
      </c>
    </row>
    <row r="168">
      <c r="A168" t="inlineStr">
        <is>
          <t>UR_overturning = MAX(0,M_driving)/M_stabilizing (%)</t>
        </is>
      </c>
      <c r="B168" s="11">
        <f>MAX(0,B164)/B165*100</f>
        <v/>
      </c>
    </row>
    <row r="169">
      <c r="A169" s="3" t="inlineStr">
        <is>
          <t>LM3 Scenario — STR/GEO Comb1</t>
        </is>
      </c>
      <c r="B169" s="4" t="n"/>
      <c r="C169" s="4" t="n"/>
      <c r="D169" s="4" t="n"/>
      <c r="E169" s="4" t="n"/>
      <c r="F169" s="4" t="n"/>
    </row>
    <row r="170">
      <c r="A170" t="inlineStr">
        <is>
          <t>active_line_load = Ka_traffic*gamma_Q*F_hll_1m_coeff (kN)</t>
        </is>
      </c>
      <c r="B170" s="12">
        <f>Ka_traffic_STR_GEO_Comb1*RoadTraffic_sup_STR_GEO_Comb1*F_hll_1m_coeff</f>
        <v/>
      </c>
    </row>
    <row r="171">
      <c r="A171" t="inlineStr">
        <is>
          <t>active_udl = Ka_traffic*gamma_Q*30*H_ext (kN)</t>
        </is>
      </c>
      <c r="B171" s="12">
        <f>Ka_traffic_STR_GEO_Comb1*RoadTraffic_sup_STR_GEO_Comb1*30.0*H_ext</f>
        <v/>
      </c>
    </row>
    <row r="172">
      <c r="A172" t="inlineStr">
        <is>
          <t>braking_char (kN)</t>
        </is>
      </c>
      <c r="B172" s="12">
        <f>Q_brk_per_m</f>
        <v/>
      </c>
    </row>
    <row r="173">
      <c r="A173" t="inlineStr">
        <is>
          <t>braking = gamma_Q * braking_char (kN)</t>
        </is>
      </c>
      <c r="B173" s="12">
        <f>RoadTraffic_sup_STR_GEO_Comb1*B172</f>
        <v/>
      </c>
    </row>
    <row r="174">
      <c r="A174" t="inlineStr">
        <is>
          <t>total_active = active_surcharge+active_backfill+active_line_load+active_udl+braking (kN)</t>
        </is>
      </c>
      <c r="B174" s="12">
        <f>B137+B140+B170+B171+B173</f>
        <v/>
      </c>
    </row>
    <row r="175">
      <c r="A175" t="inlineStr">
        <is>
          <t>vertical_char (kN)</t>
        </is>
      </c>
      <c r="B175" s="12">
        <f>max_V_per_m</f>
        <v/>
      </c>
    </row>
    <row r="176">
      <c r="A176" t="inlineStr">
        <is>
          <t>vertical = gamma_Q * vertical_char (kN)</t>
        </is>
      </c>
      <c r="B176" s="12">
        <f>RoadTraffic_sup_STR_GEO_Comb1*B175</f>
        <v/>
      </c>
    </row>
    <row r="177">
      <c r="A177" t="inlineStr">
        <is>
          <t>V_d = common_vertical + vertical (kN)</t>
        </is>
      </c>
      <c r="B177" s="12">
        <f>B146+B176</f>
        <v/>
      </c>
    </row>
    <row r="178">
      <c r="A178" t="inlineStr">
        <is>
          <t>delta_d = ATAN(TAN(RADIANS(phi_founding))/gamma_M) (deg)</t>
        </is>
      </c>
      <c r="B178" s="12">
        <f>DEGREES(ATAN(TAN(RADIANS(phi_founding))/MaterialM_STR_GEO_Comb1))</f>
        <v/>
      </c>
    </row>
    <row r="179">
      <c r="A179" t="inlineStr">
        <is>
          <t>max_Rd = V_d * TAN(RADIANS(delta_d)) (kN)</t>
        </is>
      </c>
      <c r="B179" s="12">
        <f>B177*TAN(RADIANS(B178))</f>
        <v/>
      </c>
    </row>
    <row r="180">
      <c r="A180" t="inlineStr">
        <is>
          <t>friction_required = total_active - total_passive (kN)</t>
        </is>
      </c>
      <c r="B180" s="12">
        <f>B174-B142</f>
        <v/>
      </c>
    </row>
    <row r="181">
      <c r="A181" t="inlineStr">
        <is>
          <t>SLIDING margin = max_Rd - friction_required (kN)</t>
        </is>
      </c>
      <c r="B181" s="12">
        <f>B179-B180</f>
        <v/>
      </c>
    </row>
    <row r="182">
      <c r="A182" t="inlineStr">
        <is>
          <t>Sliding OK? (margin &gt;= 0)</t>
        </is>
      </c>
      <c r="B182">
        <f>B181&gt;=0</f>
        <v/>
      </c>
    </row>
    <row r="183">
      <c r="A183" t="inlineStr">
        <is>
          <t>UR_sliding = MAX(0,friction_required)/max_Rd (%)</t>
        </is>
      </c>
      <c r="B183" s="11">
        <f>MAX(0,B180)/B179*100</f>
        <v/>
      </c>
    </row>
    <row r="184">
      <c r="A184" t="inlineStr">
        <is>
          <t>M_active = act_surch*(H_ext/2)+act_bkfl*(H_ext/3)+line_load*H_ext+udl*(H_ext/2)+braking*H_ext (kNm)</t>
        </is>
      </c>
      <c r="B184" s="12">
        <f>B137*(H_ext/2)+B140*(H_ext/3)+B170*H_ext+B171*(H_ext/2)+B173*H_ext</f>
        <v/>
      </c>
    </row>
    <row r="185">
      <c r="A185" t="inlineStr">
        <is>
          <t>M_passive = pass_surch*(H_ext/2) + pass_bkfl*(H_ext/3) (kNm)</t>
        </is>
      </c>
      <c r="B185" s="12">
        <f>B138*(H_ext/2)+B141*(H_ext/3)</f>
        <v/>
      </c>
    </row>
    <row r="186">
      <c r="A186" t="inlineStr">
        <is>
          <t>M_driving = MAX(0, M_active - M_passive) (kNm)</t>
        </is>
      </c>
      <c r="B186" s="12">
        <f>MAX(0,B184-B185)</f>
        <v/>
      </c>
    </row>
    <row r="187">
      <c r="A187" t="inlineStr">
        <is>
          <t>M_stabilizing = V_d * B_ext/2 (kNm)</t>
        </is>
      </c>
      <c r="B187" s="12">
        <f>B177*B_ext/2</f>
        <v/>
      </c>
    </row>
    <row r="188">
      <c r="A188" t="inlineStr">
        <is>
          <t>OVERTURNING margin = M_stabilizing - M_driving (kNm)</t>
        </is>
      </c>
      <c r="B188" s="12">
        <f>B187-B186</f>
        <v/>
      </c>
    </row>
    <row r="189">
      <c r="A189" t="inlineStr">
        <is>
          <t>Overturning OK? (ot_margin &gt;= 0)</t>
        </is>
      </c>
      <c r="B189">
        <f>B188&gt;=0</f>
        <v/>
      </c>
    </row>
    <row r="190">
      <c r="A190" t="inlineStr">
        <is>
          <t>UR_overturning = MAX(0,M_driving)/M_stabilizing (%)</t>
        </is>
      </c>
      <c r="B190" s="11">
        <f>MAX(0,B186)/B187*100</f>
        <v/>
      </c>
    </row>
    <row r="191">
      <c r="A191" t="inlineStr">
        <is>
          <t>Governing (sliding) — LM1 if its margin is smaller</t>
        </is>
      </c>
      <c r="B191">
        <f>IF(B159&lt;B181,"LM1","LM3")</f>
        <v/>
      </c>
    </row>
    <row r="192">
      <c r="A192" t="inlineStr">
        <is>
          <t>Governing (overturning) — LM1 if its margin is smaller</t>
        </is>
      </c>
      <c r="B192">
        <f>IF(B166&lt;B188,"LM1","LM3")</f>
        <v/>
      </c>
    </row>
    <row r="194" ht="20" customHeight="1">
      <c r="A194" s="1" t="inlineStr">
        <is>
          <t>Sliding &amp; Overturning at STR/GEO Comb2</t>
        </is>
      </c>
      <c r="B194" s="2" t="n"/>
    </row>
    <row r="196">
      <c r="A196" s="3" t="inlineStr">
        <is>
          <t>Common Terms — STR/GEO Comb2 (favourable/min)</t>
        </is>
      </c>
      <c r="B196" s="4" t="n"/>
      <c r="C196" s="4" t="n"/>
      <c r="D196" s="4" t="n"/>
      <c r="E196" s="4" t="n"/>
      <c r="F196" s="4" t="n"/>
    </row>
    <row r="197">
      <c r="A197" t="inlineStr">
        <is>
          <t>road_udl_char = UDL_1 (kN/m)</t>
        </is>
      </c>
      <c r="B197" s="12">
        <f>UDL_1</f>
        <v/>
      </c>
    </row>
    <row r="198">
      <c r="A198" t="inlineStr">
        <is>
          <t>fill_udl_char = UDL_total - UDL_1 (kN/m)</t>
        </is>
      </c>
      <c r="B198" s="12">
        <f>UDL_total-UDL_1</f>
        <v/>
      </c>
    </row>
    <row r="199">
      <c r="A199" t="inlineStr">
        <is>
          <t>surcharge_road = road_dev * road_udl_char (kN/m)</t>
        </is>
      </c>
      <c r="B199" s="12">
        <f>road_dev_fav*B197</f>
        <v/>
      </c>
    </row>
    <row r="200">
      <c r="A200" t="inlineStr">
        <is>
          <t>active_surcharge = Ka_earth*gamma_super*(surcharge_road+fill_udl_char)*H_ext (kN)</t>
        </is>
      </c>
      <c r="B200" s="12">
        <f>Ka_earth_STR_GEO_Comb2*Superimposed_inf_STR_GEO_Comb2*(B199+B198)*H_ext</f>
        <v/>
      </c>
    </row>
    <row r="201">
      <c r="A201" t="inlineStr">
        <is>
          <t>passive_surcharge = Kmax*gamma_super*(surcharge_road+fill_udl_char)*H_ext (kN)</t>
        </is>
      </c>
      <c r="B201" s="12">
        <f>Kmax_STR_GEO_Comb2*Superimposed_inf_STR_GEO_Comb2*(B199+B198)*H_ext</f>
        <v/>
      </c>
    </row>
    <row r="202">
      <c r="A202" t="inlineStr">
        <is>
          <t>backfill_pressure = gamma_backfill * H_ext (kN/m2)</t>
        </is>
      </c>
      <c r="B202" s="12">
        <f>gamma_backfill*H_ext</f>
        <v/>
      </c>
    </row>
    <row r="203">
      <c r="A203" t="inlineStr">
        <is>
          <t>active_backfill = Ka_earth*gamma_self*backfill_pressure*H_ext/2 (kN)</t>
        </is>
      </c>
      <c r="B203" s="12">
        <f>Ka_earth_STR_GEO_Comb2*SelfWeight_inf_STR_GEO_Comb2*B202*H_ext/2</f>
        <v/>
      </c>
    </row>
    <row r="204">
      <c r="A204" t="inlineStr">
        <is>
          <t>passive_backfill = Kmax*gamma_self*backfill_pressure*H_ext/2 (kN)</t>
        </is>
      </c>
      <c r="B204" s="12">
        <f>Kmax_STR_GEO_Comb2*SelfWeight_inf_STR_GEO_Comb2*B202*H_ext/2</f>
        <v/>
      </c>
    </row>
    <row r="205">
      <c r="A205" t="inlineStr">
        <is>
          <t>total_passive = passive_surcharge + passive_backfill (kN)</t>
        </is>
      </c>
      <c r="B205" s="12">
        <f>B201+B204</f>
        <v/>
      </c>
    </row>
    <row r="206">
      <c r="A206" t="inlineStr">
        <is>
          <t>road_vertical = gamma_super * gamma_sd_ec * road_dev * road_udl_char * B_ext (kN)</t>
        </is>
      </c>
      <c r="B206" s="12">
        <f>Superimposed_inf_STR_GEO_Comb2*1*road_dev_fav*B197*B_ext</f>
        <v/>
      </c>
    </row>
    <row r="207">
      <c r="A207" t="inlineStr">
        <is>
          <t>fill_vertical = gamma_super * gamma_sd_ec * fill_udl_char * B_ext (kN)</t>
        </is>
      </c>
      <c r="B207" s="12">
        <f>Superimposed_inf_STR_GEO_Comb2*1*B198*B_ext</f>
        <v/>
      </c>
    </row>
    <row r="208">
      <c r="A208" t="inlineStr">
        <is>
          <t>self_weight_vertical = gamma_self * W_box (kN)</t>
        </is>
      </c>
      <c r="B208" s="12">
        <f>SelfWeight_inf_STR_GEO_Comb2*W_box</f>
        <v/>
      </c>
    </row>
    <row r="209">
      <c r="A209" t="inlineStr">
        <is>
          <t>common_vertical = road_vertical + fill_vertical + self_weight_vertical (kN)</t>
        </is>
      </c>
      <c r="B209" s="12">
        <f>B206+B207+B208</f>
        <v/>
      </c>
    </row>
    <row r="210">
      <c r="A210" s="3" t="inlineStr">
        <is>
          <t>LM1 Scenario — STR/GEO Comb2</t>
        </is>
      </c>
      <c r="B210" s="4" t="n"/>
      <c r="C210" s="4" t="n"/>
      <c r="D210" s="4" t="n"/>
      <c r="E210" s="4" t="n"/>
      <c r="F210" s="4" t="n"/>
    </row>
    <row r="211">
      <c r="A211" t="inlineStr">
        <is>
          <t>active_line_load = Ka_traffic*gamma_Q*F_hll_1m_coeff (kN)</t>
        </is>
      </c>
      <c r="B211" s="12">
        <f>Ka_traffic_STR_GEO_Comb2*RoadTraffic_sup_STR_GEO_Comb2*F_hll_1m_coeff</f>
        <v/>
      </c>
    </row>
    <row r="212">
      <c r="A212" t="inlineStr">
        <is>
          <t>active_udl = Ka_traffic*gamma_Q*20*H_ext (kN)</t>
        </is>
      </c>
      <c r="B212" s="12">
        <f>Ka_traffic_STR_GEO_Comb2*RoadTraffic_sup_STR_GEO_Comb2*20.0*H_ext</f>
        <v/>
      </c>
    </row>
    <row r="213">
      <c r="A213" t="inlineStr">
        <is>
          <t>braking_char (kN)</t>
        </is>
      </c>
      <c r="B213" s="12">
        <f>Q_lk/L_L</f>
        <v/>
      </c>
    </row>
    <row r="214">
      <c r="A214" t="inlineStr">
        <is>
          <t>braking = gamma_Q * braking_char (kN)</t>
        </is>
      </c>
      <c r="B214" s="12">
        <f>RoadTraffic_sup_STR_GEO_Comb2*B213</f>
        <v/>
      </c>
    </row>
    <row r="215">
      <c r="A215" t="inlineStr">
        <is>
          <t>total_active = active_surcharge+active_backfill+active_line_load+active_udl+braking (kN)</t>
        </is>
      </c>
      <c r="B215" s="12">
        <f>B200+B203+B211+B212+B214</f>
        <v/>
      </c>
    </row>
    <row r="216">
      <c r="A216" t="inlineStr">
        <is>
          <t>vertical_char (kN)</t>
        </is>
      </c>
      <c r="B216" s="12">
        <f>lane1_udl*B_ext+patch_load*disp_m*2</f>
        <v/>
      </c>
    </row>
    <row r="217">
      <c r="A217" t="inlineStr">
        <is>
          <t>vertical = gamma_Q * vertical_char (kN)</t>
        </is>
      </c>
      <c r="B217" s="12">
        <f>RoadTraffic_sup_STR_GEO_Comb2*B216</f>
        <v/>
      </c>
    </row>
    <row r="218">
      <c r="A218" t="inlineStr">
        <is>
          <t>V_d = common_vertical + vertical (kN)</t>
        </is>
      </c>
      <c r="B218" s="12">
        <f>B209+B217</f>
        <v/>
      </c>
    </row>
    <row r="219">
      <c r="A219" t="inlineStr">
        <is>
          <t>delta_d = ATAN(TAN(RADIANS(phi_founding))/gamma_M) (deg)</t>
        </is>
      </c>
      <c r="B219" s="12">
        <f>DEGREES(ATAN(TAN(RADIANS(phi_founding))/MaterialM_STR_GEO_Comb2))</f>
        <v/>
      </c>
    </row>
    <row r="220">
      <c r="A220" t="inlineStr">
        <is>
          <t>max_Rd = V_d * TAN(RADIANS(delta_d)) (kN)</t>
        </is>
      </c>
      <c r="B220" s="12">
        <f>B218*TAN(RADIANS(B219))</f>
        <v/>
      </c>
    </row>
    <row r="221">
      <c r="A221" t="inlineStr">
        <is>
          <t>friction_required = total_active - total_passive (kN)</t>
        </is>
      </c>
      <c r="B221" s="12">
        <f>B215-B205</f>
        <v/>
      </c>
    </row>
    <row r="222">
      <c r="A222" t="inlineStr">
        <is>
          <t>SLIDING margin = max_Rd - friction_required (kN)</t>
        </is>
      </c>
      <c r="B222" s="12">
        <f>B220-B221</f>
        <v/>
      </c>
    </row>
    <row r="223">
      <c r="A223" t="inlineStr">
        <is>
          <t>Sliding OK? (margin &gt;= 0)</t>
        </is>
      </c>
      <c r="B223">
        <f>B222&gt;=0</f>
        <v/>
      </c>
    </row>
    <row r="224">
      <c r="A224" t="inlineStr">
        <is>
          <t>UR_sliding = MAX(0,friction_required)/max_Rd (%)</t>
        </is>
      </c>
      <c r="B224" s="11">
        <f>MAX(0,B221)/B220*100</f>
        <v/>
      </c>
    </row>
    <row r="225">
      <c r="A225" t="inlineStr">
        <is>
          <t>M_active = act_surch*(H_ext/2)+act_bkfl*(H_ext/3)+line_load*H_ext+udl*(H_ext/2)+braking*H_ext (kNm)</t>
        </is>
      </c>
      <c r="B225" s="12">
        <f>B200*(H_ext/2)+B203*(H_ext/3)+B211*H_ext+B212*(H_ext/2)+B214*H_ext</f>
        <v/>
      </c>
    </row>
    <row r="226">
      <c r="A226" t="inlineStr">
        <is>
          <t>M_passive = pass_surch*(H_ext/2) + pass_bkfl*(H_ext/3) (kNm)</t>
        </is>
      </c>
      <c r="B226" s="12">
        <f>B201*(H_ext/2)+B204*(H_ext/3)</f>
        <v/>
      </c>
    </row>
    <row r="227">
      <c r="A227" t="inlineStr">
        <is>
          <t>M_driving = MAX(0, M_active - M_passive) (kNm)</t>
        </is>
      </c>
      <c r="B227" s="12">
        <f>MAX(0,B225-B226)</f>
        <v/>
      </c>
    </row>
    <row r="228">
      <c r="A228" t="inlineStr">
        <is>
          <t>M_stabilizing = V_d * B_ext/2 (kNm)</t>
        </is>
      </c>
      <c r="B228" s="12">
        <f>B218*B_ext/2</f>
        <v/>
      </c>
    </row>
    <row r="229">
      <c r="A229" t="inlineStr">
        <is>
          <t>OVERTURNING margin = M_stabilizing - M_driving (kNm)</t>
        </is>
      </c>
      <c r="B229" s="12">
        <f>B228-B227</f>
        <v/>
      </c>
    </row>
    <row r="230">
      <c r="A230" t="inlineStr">
        <is>
          <t>Overturning OK? (ot_margin &gt;= 0)</t>
        </is>
      </c>
      <c r="B230">
        <f>B229&gt;=0</f>
        <v/>
      </c>
    </row>
    <row r="231">
      <c r="A231" t="inlineStr">
        <is>
          <t>UR_overturning = MAX(0,M_driving)/M_stabilizing (%)</t>
        </is>
      </c>
      <c r="B231" s="11">
        <f>MAX(0,B227)/B228*100</f>
        <v/>
      </c>
    </row>
    <row r="232">
      <c r="A232" s="3" t="inlineStr">
        <is>
          <t>LM3 Scenario — STR/GEO Comb2</t>
        </is>
      </c>
      <c r="B232" s="4" t="n"/>
      <c r="C232" s="4" t="n"/>
      <c r="D232" s="4" t="n"/>
      <c r="E232" s="4" t="n"/>
      <c r="F232" s="4" t="n"/>
    </row>
    <row r="233">
      <c r="A233" t="inlineStr">
        <is>
          <t>active_line_load = Ka_traffic*gamma_Q*F_hll_1m_coeff (kN)</t>
        </is>
      </c>
      <c r="B233" s="12">
        <f>Ka_traffic_STR_GEO_Comb2*RoadTraffic_sup_STR_GEO_Comb2*F_hll_1m_coeff</f>
        <v/>
      </c>
    </row>
    <row r="234">
      <c r="A234" t="inlineStr">
        <is>
          <t>active_udl = Ka_traffic*gamma_Q*30*H_ext (kN)</t>
        </is>
      </c>
      <c r="B234" s="12">
        <f>Ka_traffic_STR_GEO_Comb2*RoadTraffic_sup_STR_GEO_Comb2*30.0*H_ext</f>
        <v/>
      </c>
    </row>
    <row r="235">
      <c r="A235" t="inlineStr">
        <is>
          <t>braking_char (kN)</t>
        </is>
      </c>
      <c r="B235" s="12">
        <f>Q_brk_per_m</f>
        <v/>
      </c>
    </row>
    <row r="236">
      <c r="A236" t="inlineStr">
        <is>
          <t>braking = gamma_Q * braking_char (kN)</t>
        </is>
      </c>
      <c r="B236" s="12">
        <f>RoadTraffic_sup_STR_GEO_Comb2*B235</f>
        <v/>
      </c>
    </row>
    <row r="237">
      <c r="A237" t="inlineStr">
        <is>
          <t>total_active = active_surcharge+active_backfill+active_line_load+active_udl+braking (kN)</t>
        </is>
      </c>
      <c r="B237" s="12">
        <f>B200+B203+B233+B234+B236</f>
        <v/>
      </c>
    </row>
    <row r="238">
      <c r="A238" t="inlineStr">
        <is>
          <t>vertical_char (kN)</t>
        </is>
      </c>
      <c r="B238" s="12">
        <f>max_V_per_m</f>
        <v/>
      </c>
    </row>
    <row r="239">
      <c r="A239" t="inlineStr">
        <is>
          <t>vertical = gamma_Q * vertical_char (kN)</t>
        </is>
      </c>
      <c r="B239" s="12">
        <f>RoadTraffic_sup_STR_GEO_Comb2*B238</f>
        <v/>
      </c>
    </row>
    <row r="240">
      <c r="A240" t="inlineStr">
        <is>
          <t>V_d = common_vertical + vertical (kN)</t>
        </is>
      </c>
      <c r="B240" s="12">
        <f>B209+B239</f>
        <v/>
      </c>
    </row>
    <row r="241">
      <c r="A241" t="inlineStr">
        <is>
          <t>delta_d = ATAN(TAN(RADIANS(phi_founding))/gamma_M) (deg)</t>
        </is>
      </c>
      <c r="B241" s="12">
        <f>DEGREES(ATAN(TAN(RADIANS(phi_founding))/MaterialM_STR_GEO_Comb2))</f>
        <v/>
      </c>
    </row>
    <row r="242">
      <c r="A242" t="inlineStr">
        <is>
          <t>max_Rd = V_d * TAN(RADIANS(delta_d)) (kN)</t>
        </is>
      </c>
      <c r="B242" s="12">
        <f>B240*TAN(RADIANS(B241))</f>
        <v/>
      </c>
    </row>
    <row r="243">
      <c r="A243" t="inlineStr">
        <is>
          <t>friction_required = total_active - total_passive (kN)</t>
        </is>
      </c>
      <c r="B243" s="12">
        <f>B237-B205</f>
        <v/>
      </c>
    </row>
    <row r="244">
      <c r="A244" t="inlineStr">
        <is>
          <t>SLIDING margin = max_Rd - friction_required (kN)</t>
        </is>
      </c>
      <c r="B244" s="12">
        <f>B242-B243</f>
        <v/>
      </c>
    </row>
    <row r="245">
      <c r="A245" t="inlineStr">
        <is>
          <t>Sliding OK? (margin &gt;= 0)</t>
        </is>
      </c>
      <c r="B245">
        <f>B244&gt;=0</f>
        <v/>
      </c>
    </row>
    <row r="246">
      <c r="A246" t="inlineStr">
        <is>
          <t>UR_sliding = MAX(0,friction_required)/max_Rd (%)</t>
        </is>
      </c>
      <c r="B246" s="11">
        <f>MAX(0,B243)/B242*100</f>
        <v/>
      </c>
    </row>
    <row r="247">
      <c r="A247" t="inlineStr">
        <is>
          <t>M_active = act_surch*(H_ext/2)+act_bkfl*(H_ext/3)+line_load*H_ext+udl*(H_ext/2)+braking*H_ext (kNm)</t>
        </is>
      </c>
      <c r="B247" s="12">
        <f>B200*(H_ext/2)+B203*(H_ext/3)+B233*H_ext+B234*(H_ext/2)+B236*H_ext</f>
        <v/>
      </c>
    </row>
    <row r="248">
      <c r="A248" t="inlineStr">
        <is>
          <t>M_passive = pass_surch*(H_ext/2) + pass_bkfl*(H_ext/3) (kNm)</t>
        </is>
      </c>
      <c r="B248" s="12">
        <f>B201*(H_ext/2)+B204*(H_ext/3)</f>
        <v/>
      </c>
    </row>
    <row r="249">
      <c r="A249" t="inlineStr">
        <is>
          <t>M_driving = MAX(0, M_active - M_passive) (kNm)</t>
        </is>
      </c>
      <c r="B249" s="12">
        <f>MAX(0,B247-B248)</f>
        <v/>
      </c>
    </row>
    <row r="250">
      <c r="A250" t="inlineStr">
        <is>
          <t>M_stabilizing = V_d * B_ext/2 (kNm)</t>
        </is>
      </c>
      <c r="B250" s="12">
        <f>B240*B_ext/2</f>
        <v/>
      </c>
    </row>
    <row r="251">
      <c r="A251" t="inlineStr">
        <is>
          <t>OVERTURNING margin = M_stabilizing - M_driving (kNm)</t>
        </is>
      </c>
      <c r="B251" s="12">
        <f>B250-B249</f>
        <v/>
      </c>
    </row>
    <row r="252">
      <c r="A252" t="inlineStr">
        <is>
          <t>Overturning OK? (ot_margin &gt;= 0)</t>
        </is>
      </c>
      <c r="B252">
        <f>B251&gt;=0</f>
        <v/>
      </c>
    </row>
    <row r="253">
      <c r="A253" t="inlineStr">
        <is>
          <t>UR_overturning = MAX(0,M_driving)/M_stabilizing (%)</t>
        </is>
      </c>
      <c r="B253" s="11">
        <f>MAX(0,B249)/B250*100</f>
        <v/>
      </c>
    </row>
    <row r="254">
      <c r="A254" t="inlineStr">
        <is>
          <t>Governing (sliding) — LM1 if its margin is smaller</t>
        </is>
      </c>
      <c r="B254">
        <f>IF(B222&lt;B244,"LM1","LM3")</f>
        <v/>
      </c>
    </row>
    <row r="255">
      <c r="A255" t="inlineStr">
        <is>
          <t>Governing (overturning) — LM1 if its margin is smaller</t>
        </is>
      </c>
      <c r="B255">
        <f>IF(B229&lt;B251,"LM1","LM3")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03864"/>
    <outlinePr summaryBelow="1" summaryRight="1"/>
    <pageSetUpPr/>
  </sheetPr>
  <dimension ref="A1:F263"/>
  <sheetViews>
    <sheetView showGridLines="0" tabSelected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16" customWidth="1" min="2" max="2"/>
  </cols>
  <sheetData>
    <row r="1" ht="20" customHeight="1">
      <c r="A1" s="1" t="inlineStr">
        <is>
          <t>Table B.6 — Sliding &amp; Overturning (Minimum Vertical + Water Table)</t>
        </is>
      </c>
      <c r="B1" s="2" t="n"/>
      <c r="C1" s="2" t="n"/>
      <c r="D1" s="2" t="n"/>
      <c r="E1" s="2" t="n"/>
      <c r="F1" s="2" t="n"/>
    </row>
    <row r="3">
      <c r="A3" s="10" t="inlineStr">
        <is>
          <t>Sliding and overturning, LM1 and LM3, all four limit states — the smaller margin governs.</t>
        </is>
      </c>
    </row>
    <row r="5">
      <c r="A5" s="3" t="inlineStr">
        <is>
          <t>Buoyancy (Archimedes, submerged external cross-section)</t>
        </is>
      </c>
      <c r="B5" s="4" t="n"/>
      <c r="C5" s="4" t="n"/>
      <c r="D5" s="4" t="n"/>
      <c r="E5" s="4" t="n"/>
      <c r="F5" s="4" t="n"/>
    </row>
    <row r="6">
      <c r="A6" t="inlineStr">
        <is>
          <t>Submerged height = MIN(h_wt, H_ext) (m)</t>
        </is>
      </c>
      <c r="B6" s="12">
        <f>MIN(h_wt,H_ext)</f>
        <v/>
      </c>
    </row>
    <row r="7">
      <c r="A7" t="inlineStr">
        <is>
          <t>F_buoyancy_char = gamma_w * B_ext * submerged height (kN)</t>
        </is>
      </c>
      <c r="B7" s="12">
        <f>gamma_w*B_ext*B6</f>
        <v/>
      </c>
    </row>
    <row r="9" ht="20" customHeight="1">
      <c r="A9" s="1" t="inlineStr">
        <is>
          <t>Sliding &amp; Overturning at SLS</t>
        </is>
      </c>
      <c r="B9" s="2" t="n"/>
    </row>
    <row r="11">
      <c r="A11" t="inlineStr">
        <is>
          <t>F_buoyancy = WaterPressure_sup_SLS * F_buoyancy_char (kN)</t>
        </is>
      </c>
      <c r="B11" s="12">
        <f>WaterPressure_sup_SLS*B7</f>
        <v/>
      </c>
    </row>
    <row r="12">
      <c r="A12" s="3" t="inlineStr">
        <is>
          <t>Common Terms — SLS (favourable/min)</t>
        </is>
      </c>
      <c r="B12" s="4" t="n"/>
      <c r="C12" s="4" t="n"/>
      <c r="D12" s="4" t="n"/>
      <c r="E12" s="4" t="n"/>
      <c r="F12" s="4" t="n"/>
    </row>
    <row r="13">
      <c r="A13" t="inlineStr">
        <is>
          <t>road_udl_char = UDL_1 (kN/m)</t>
        </is>
      </c>
      <c r="B13" s="12">
        <f>UDL_1</f>
        <v/>
      </c>
    </row>
    <row r="14">
      <c r="A14" t="inlineStr">
        <is>
          <t>fill_udl_char = UDL_total - UDL_1 (kN/m)</t>
        </is>
      </c>
      <c r="B14" s="12">
        <f>UDL_total-UDL_1</f>
        <v/>
      </c>
    </row>
    <row r="15">
      <c r="A15" t="inlineStr">
        <is>
          <t>surcharge_road = road_dev * road_udl_char (kN/m)</t>
        </is>
      </c>
      <c r="B15" s="12">
        <f>road_dev_fav*B13</f>
        <v/>
      </c>
    </row>
    <row r="16">
      <c r="A16" t="inlineStr">
        <is>
          <t>active_surcharge = Ka_earth*gamma_super*(surcharge_road+fill_udl_char)*H_ext (kN)</t>
        </is>
      </c>
      <c r="B16" s="12">
        <f>Ka_earth_SLS*Superimposed_inf_SLS*(B15+B14)*H_ext</f>
        <v/>
      </c>
    </row>
    <row r="17">
      <c r="A17" t="inlineStr">
        <is>
          <t>passive_surcharge = Kmax*gamma_super*(surcharge_road+fill_udl_char)*H_ext (kN)</t>
        </is>
      </c>
      <c r="B17" s="12">
        <f>Kmax_SLS*Superimposed_inf_SLS*(B15+B14)*H_ext</f>
        <v/>
      </c>
    </row>
    <row r="18">
      <c r="A18" t="inlineStr">
        <is>
          <t>backfill_pressure = gamma_backfill * H_ext (kN/m2)</t>
        </is>
      </c>
      <c r="B18" s="12">
        <f>gamma_backfill*H_ext</f>
        <v/>
      </c>
    </row>
    <row r="19">
      <c r="A19" t="inlineStr">
        <is>
          <t>active_backfill = Ka_earth*gamma_self*backfill_pressure*H_ext/2 (kN)</t>
        </is>
      </c>
      <c r="B19" s="12">
        <f>Ka_earth_SLS*SelfWeight_inf_SLS*B18*H_ext/2</f>
        <v/>
      </c>
    </row>
    <row r="20">
      <c r="A20" t="inlineStr">
        <is>
          <t>passive_backfill = Kmax*gamma_self*backfill_pressure*H_ext/2 (kN)</t>
        </is>
      </c>
      <c r="B20" s="12">
        <f>Kmax_SLS*SelfWeight_inf_SLS*B18*H_ext/2</f>
        <v/>
      </c>
    </row>
    <row r="21">
      <c r="A21" t="inlineStr">
        <is>
          <t>total_passive = passive_surcharge + passive_backfill (kN)</t>
        </is>
      </c>
      <c r="B21" s="12">
        <f>B17+B20</f>
        <v/>
      </c>
    </row>
    <row r="22">
      <c r="A22" t="inlineStr">
        <is>
          <t>road_vertical = gamma_super * gamma_sd_ec * road_dev * road_udl_char * B_ext (kN)</t>
        </is>
      </c>
      <c r="B22" s="12">
        <f>Superimposed_inf_SLS*1*road_dev_fav*B13*B_ext</f>
        <v/>
      </c>
    </row>
    <row r="23">
      <c r="A23" t="inlineStr">
        <is>
          <t>fill_vertical = gamma_super * gamma_sd_ec * fill_udl_char * B_ext (kN)</t>
        </is>
      </c>
      <c r="B23" s="12">
        <f>Superimposed_inf_SLS*1*B14*B_ext</f>
        <v/>
      </c>
    </row>
    <row r="24">
      <c r="A24" t="inlineStr">
        <is>
          <t>self_weight_vertical = gamma_self * W_box (kN)</t>
        </is>
      </c>
      <c r="B24" s="12">
        <f>SelfWeight_inf_SLS*W_box</f>
        <v/>
      </c>
    </row>
    <row r="25">
      <c r="A25" t="inlineStr">
        <is>
          <t>common_vertical = road_vertical + fill_vertical + self_weight_vertical (kN)</t>
        </is>
      </c>
      <c r="B25" s="12">
        <f>B22+B23+B24</f>
        <v/>
      </c>
    </row>
    <row r="26">
      <c r="A26" s="3" t="inlineStr">
        <is>
          <t>LM1 Scenario — SLS</t>
        </is>
      </c>
      <c r="B26" s="4" t="n"/>
      <c r="C26" s="4" t="n"/>
      <c r="D26" s="4" t="n"/>
      <c r="E26" s="4" t="n"/>
      <c r="F26" s="4" t="n"/>
    </row>
    <row r="27">
      <c r="A27" t="inlineStr">
        <is>
          <t>active_line_load = Ka_traffic*gamma_Q*F_hll_1m_coeff (kN)</t>
        </is>
      </c>
      <c r="B27" s="12">
        <f>Ka_traffic_SLS*RoadTraffic_sup_SLS*F_hll_1m_coeff</f>
        <v/>
      </c>
    </row>
    <row r="28">
      <c r="A28" t="inlineStr">
        <is>
          <t>active_udl = Ka_traffic*gamma_Q*20*H_ext (kN)</t>
        </is>
      </c>
      <c r="B28" s="12">
        <f>Ka_traffic_SLS*RoadTraffic_sup_SLS*20.0*H_ext</f>
        <v/>
      </c>
    </row>
    <row r="29">
      <c r="A29" t="inlineStr">
        <is>
          <t>braking_char (kN)</t>
        </is>
      </c>
      <c r="B29" s="12">
        <f>Q_lk/L_L</f>
        <v/>
      </c>
    </row>
    <row r="30">
      <c r="A30" t="inlineStr">
        <is>
          <t>braking = gamma_Q * braking_char (kN)</t>
        </is>
      </c>
      <c r="B30" s="12">
        <f>RoadTraffic_sup_SLS*B29</f>
        <v/>
      </c>
    </row>
    <row r="31">
      <c r="A31" t="inlineStr">
        <is>
          <t>total_active = active_surcharge+active_backfill+active_line_load+active_udl+braking (kN)</t>
        </is>
      </c>
      <c r="B31" s="12">
        <f>B16+B19+B27+B28+B30</f>
        <v/>
      </c>
    </row>
    <row r="32">
      <c r="A32" t="inlineStr">
        <is>
          <t>vertical_char (kN)</t>
        </is>
      </c>
      <c r="B32" s="12">
        <f>lane1_udl*B_ext+patch_load*disp_m*2</f>
        <v/>
      </c>
    </row>
    <row r="33">
      <c r="A33" t="inlineStr">
        <is>
          <t>vertical = gamma_Q * vertical_char (kN)</t>
        </is>
      </c>
      <c r="B33" s="12">
        <f>RoadTraffic_sup_SLS*B32</f>
        <v/>
      </c>
    </row>
    <row r="34">
      <c r="A34" t="inlineStr">
        <is>
          <t>V_d = common_vertical + vertical - buoyancy (kN)</t>
        </is>
      </c>
      <c r="B34" s="12">
        <f>B25+B33-B11</f>
        <v/>
      </c>
    </row>
    <row r="35">
      <c r="A35" t="inlineStr">
        <is>
          <t>delta_d = ATAN(TAN(RADIANS(phi_founding))/gamma_M) (deg)</t>
        </is>
      </c>
      <c r="B35" s="12">
        <f>DEGREES(ATAN(TAN(RADIANS(phi_founding))/MaterialM_SLS))</f>
        <v/>
      </c>
    </row>
    <row r="36">
      <c r="A36" t="inlineStr">
        <is>
          <t>max_Rd = V_d * TAN(RADIANS(delta_d)) (kN)</t>
        </is>
      </c>
      <c r="B36" s="12">
        <f>B34*TAN(RADIANS(B35))</f>
        <v/>
      </c>
    </row>
    <row r="37">
      <c r="A37" t="inlineStr">
        <is>
          <t>friction_required = total_active - total_passive (kN)</t>
        </is>
      </c>
      <c r="B37" s="12">
        <f>B31-B21</f>
        <v/>
      </c>
    </row>
    <row r="38">
      <c r="A38" t="inlineStr">
        <is>
          <t>SLIDING margin = max_Rd - friction_required (kN)</t>
        </is>
      </c>
      <c r="B38" s="12">
        <f>B36-B37</f>
        <v/>
      </c>
    </row>
    <row r="39">
      <c r="A39" t="inlineStr">
        <is>
          <t>Sliding OK? (margin &gt;= 0)</t>
        </is>
      </c>
      <c r="B39">
        <f>B38&gt;=0</f>
        <v/>
      </c>
    </row>
    <row r="40">
      <c r="A40" t="inlineStr">
        <is>
          <t>UR_sliding = MAX(0,friction_required)/max_Rd (%)</t>
        </is>
      </c>
      <c r="B40" s="11">
        <f>MAX(0,B37)/B36*100</f>
        <v/>
      </c>
    </row>
    <row r="41">
      <c r="A41" t="inlineStr">
        <is>
          <t>M_active = act_surch*(H_ext/2)+act_bkfl*(H_ext/3)+line_load*H_ext+udl*(H_ext/2)+braking*H_ext (kNm)</t>
        </is>
      </c>
      <c r="B41" s="12">
        <f>B16*(H_ext/2)+B19*(H_ext/3)+B27*H_ext+B28*(H_ext/2)+B30*H_ext</f>
        <v/>
      </c>
    </row>
    <row r="42">
      <c r="A42" t="inlineStr">
        <is>
          <t>M_passive = pass_surch*(H_ext/2) + pass_bkfl*(H_ext/3) (kNm)</t>
        </is>
      </c>
      <c r="B42" s="12">
        <f>B17*(H_ext/2)+B20*(H_ext/3)</f>
        <v/>
      </c>
    </row>
    <row r="43">
      <c r="A43" t="inlineStr">
        <is>
          <t>M_driving = MAX(0, M_active - M_passive) (kNm)</t>
        </is>
      </c>
      <c r="B43" s="12">
        <f>MAX(0,B41-B42)</f>
        <v/>
      </c>
    </row>
    <row r="44">
      <c r="A44" t="inlineStr">
        <is>
          <t>M_stabilizing = V_d * B_ext/2 (kNm)</t>
        </is>
      </c>
      <c r="B44" s="12">
        <f>B34*B_ext/2</f>
        <v/>
      </c>
    </row>
    <row r="45">
      <c r="A45" t="inlineStr">
        <is>
          <t>OVERTURNING margin = M_stabilizing - M_driving (kNm)</t>
        </is>
      </c>
      <c r="B45" s="12">
        <f>B44-B43</f>
        <v/>
      </c>
    </row>
    <row r="46">
      <c r="A46" t="inlineStr">
        <is>
          <t>Overturning OK? (ot_margin &gt;= 0)</t>
        </is>
      </c>
      <c r="B46">
        <f>B45&gt;=0</f>
        <v/>
      </c>
    </row>
    <row r="47">
      <c r="A47" t="inlineStr">
        <is>
          <t>UR_overturning = MAX(0,M_driving)/M_stabilizing (%)</t>
        </is>
      </c>
      <c r="B47" s="11">
        <f>MAX(0,B43)/B44*100</f>
        <v/>
      </c>
    </row>
    <row r="48">
      <c r="A48" s="3" t="inlineStr">
        <is>
          <t>LM3 Scenario — SLS</t>
        </is>
      </c>
      <c r="B48" s="4" t="n"/>
      <c r="C48" s="4" t="n"/>
      <c r="D48" s="4" t="n"/>
      <c r="E48" s="4" t="n"/>
      <c r="F48" s="4" t="n"/>
    </row>
    <row r="49">
      <c r="A49" t="inlineStr">
        <is>
          <t>active_line_load = Ka_traffic*gamma_Q*F_hll_1m_coeff (kN)</t>
        </is>
      </c>
      <c r="B49" s="12">
        <f>Ka_traffic_SLS*RoadTraffic_sup_SLS*F_hll_1m_coeff</f>
        <v/>
      </c>
    </row>
    <row r="50">
      <c r="A50" t="inlineStr">
        <is>
          <t>active_udl = Ka_traffic*gamma_Q*30*H_ext (kN)</t>
        </is>
      </c>
      <c r="B50" s="12">
        <f>Ka_traffic_SLS*RoadTraffic_sup_SLS*30.0*H_ext</f>
        <v/>
      </c>
    </row>
    <row r="51">
      <c r="A51" t="inlineStr">
        <is>
          <t>braking_char (kN)</t>
        </is>
      </c>
      <c r="B51" s="12">
        <f>Q_brk_per_m</f>
        <v/>
      </c>
    </row>
    <row r="52">
      <c r="A52" t="inlineStr">
        <is>
          <t>braking = gamma_Q * braking_char (kN)</t>
        </is>
      </c>
      <c r="B52" s="12">
        <f>RoadTraffic_sup_SLS*B51</f>
        <v/>
      </c>
    </row>
    <row r="53">
      <c r="A53" t="inlineStr">
        <is>
          <t>total_active = active_surcharge+active_backfill+active_line_load+active_udl+braking (kN)</t>
        </is>
      </c>
      <c r="B53" s="12">
        <f>B16+B19+B49+B50+B52</f>
        <v/>
      </c>
    </row>
    <row r="54">
      <c r="A54" t="inlineStr">
        <is>
          <t>vertical_char (kN)</t>
        </is>
      </c>
      <c r="B54" s="12">
        <f>max_V_per_m</f>
        <v/>
      </c>
    </row>
    <row r="55">
      <c r="A55" t="inlineStr">
        <is>
          <t>vertical = gamma_Q * vertical_char (kN)</t>
        </is>
      </c>
      <c r="B55" s="12">
        <f>RoadTraffic_sup_SLS*B54</f>
        <v/>
      </c>
    </row>
    <row r="56">
      <c r="A56" t="inlineStr">
        <is>
          <t>V_d = common_vertical + vertical - buoyancy (kN)</t>
        </is>
      </c>
      <c r="B56" s="12">
        <f>B25+B55-B11</f>
        <v/>
      </c>
    </row>
    <row r="57">
      <c r="A57" t="inlineStr">
        <is>
          <t>delta_d = ATAN(TAN(RADIANS(phi_founding))/gamma_M) (deg)</t>
        </is>
      </c>
      <c r="B57" s="12">
        <f>DEGREES(ATAN(TAN(RADIANS(phi_founding))/MaterialM_SLS))</f>
        <v/>
      </c>
    </row>
    <row r="58">
      <c r="A58" t="inlineStr">
        <is>
          <t>max_Rd = V_d * TAN(RADIANS(delta_d)) (kN)</t>
        </is>
      </c>
      <c r="B58" s="12">
        <f>B56*TAN(RADIANS(B57))</f>
        <v/>
      </c>
    </row>
    <row r="59">
      <c r="A59" t="inlineStr">
        <is>
          <t>friction_required = total_active - total_passive (kN)</t>
        </is>
      </c>
      <c r="B59" s="12">
        <f>B53-B21</f>
        <v/>
      </c>
    </row>
    <row r="60">
      <c r="A60" t="inlineStr">
        <is>
          <t>SLIDING margin = max_Rd - friction_required (kN)</t>
        </is>
      </c>
      <c r="B60" s="12">
        <f>B58-B59</f>
        <v/>
      </c>
    </row>
    <row r="61">
      <c r="A61" t="inlineStr">
        <is>
          <t>Sliding OK? (margin &gt;= 0)</t>
        </is>
      </c>
      <c r="B61">
        <f>B60&gt;=0</f>
        <v/>
      </c>
    </row>
    <row r="62">
      <c r="A62" t="inlineStr">
        <is>
          <t>UR_sliding = MAX(0,friction_required)/max_Rd (%)</t>
        </is>
      </c>
      <c r="B62" s="11">
        <f>MAX(0,B59)/B58*100</f>
        <v/>
      </c>
    </row>
    <row r="63">
      <c r="A63" t="inlineStr">
        <is>
          <t>M_active = act_surch*(H_ext/2)+act_bkfl*(H_ext/3)+line_load*H_ext+udl*(H_ext/2)+braking*H_ext (kNm)</t>
        </is>
      </c>
      <c r="B63" s="12">
        <f>B16*(H_ext/2)+B19*(H_ext/3)+B49*H_ext+B50*(H_ext/2)+B52*H_ext</f>
        <v/>
      </c>
    </row>
    <row r="64">
      <c r="A64" t="inlineStr">
        <is>
          <t>M_passive = pass_surch*(H_ext/2) + pass_bkfl*(H_ext/3) (kNm)</t>
        </is>
      </c>
      <c r="B64" s="12">
        <f>B17*(H_ext/2)+B20*(H_ext/3)</f>
        <v/>
      </c>
    </row>
    <row r="65">
      <c r="A65" t="inlineStr">
        <is>
          <t>M_driving = MAX(0, M_active - M_passive) (kNm)</t>
        </is>
      </c>
      <c r="B65" s="12">
        <f>MAX(0,B63-B64)</f>
        <v/>
      </c>
    </row>
    <row r="66">
      <c r="A66" t="inlineStr">
        <is>
          <t>M_stabilizing = V_d * B_ext/2 (kNm)</t>
        </is>
      </c>
      <c r="B66" s="12">
        <f>B56*B_ext/2</f>
        <v/>
      </c>
    </row>
    <row r="67">
      <c r="A67" t="inlineStr">
        <is>
          <t>OVERTURNING margin = M_stabilizing - M_driving (kNm)</t>
        </is>
      </c>
      <c r="B67" s="12">
        <f>B66-B65</f>
        <v/>
      </c>
    </row>
    <row r="68">
      <c r="A68" t="inlineStr">
        <is>
          <t>Overturning OK? (ot_margin &gt;= 0)</t>
        </is>
      </c>
      <c r="B68">
        <f>B67&gt;=0</f>
        <v/>
      </c>
    </row>
    <row r="69">
      <c r="A69" t="inlineStr">
        <is>
          <t>UR_overturning = MAX(0,M_driving)/M_stabilizing (%)</t>
        </is>
      </c>
      <c r="B69" s="11">
        <f>MAX(0,B65)/B66*100</f>
        <v/>
      </c>
    </row>
    <row r="70">
      <c r="A70" t="inlineStr">
        <is>
          <t>Governing (sliding) — LM1 if its margin is smaller</t>
        </is>
      </c>
      <c r="B70">
        <f>IF(B38&lt;B60,"LM1","LM3")</f>
        <v/>
      </c>
    </row>
    <row r="71">
      <c r="A71" t="inlineStr">
        <is>
          <t>Governing (overturning) — LM1 if its margin is smaller</t>
        </is>
      </c>
      <c r="B71">
        <f>IF(B45&lt;B67,"LM1","LM3")</f>
        <v/>
      </c>
    </row>
    <row r="73" ht="20" customHeight="1">
      <c r="A73" s="1" t="inlineStr">
        <is>
          <t>Sliding &amp; Overturning at EQU</t>
        </is>
      </c>
      <c r="B73" s="2" t="n"/>
    </row>
    <row r="75">
      <c r="A75" t="inlineStr">
        <is>
          <t>F_buoyancy = WaterPressure_sup_EQU * F_buoyancy_char (kN)</t>
        </is>
      </c>
      <c r="B75" s="12">
        <f>WaterPressure_sup_EQU*B7</f>
        <v/>
      </c>
    </row>
    <row r="76">
      <c r="A76" s="3" t="inlineStr">
        <is>
          <t>Common Terms — EQU (favourable/min)</t>
        </is>
      </c>
      <c r="B76" s="4" t="n"/>
      <c r="C76" s="4" t="n"/>
      <c r="D76" s="4" t="n"/>
      <c r="E76" s="4" t="n"/>
      <c r="F76" s="4" t="n"/>
    </row>
    <row r="77">
      <c r="A77" t="inlineStr">
        <is>
          <t>road_udl_char = UDL_1 (kN/m)</t>
        </is>
      </c>
      <c r="B77" s="12">
        <f>UDL_1</f>
        <v/>
      </c>
    </row>
    <row r="78">
      <c r="A78" t="inlineStr">
        <is>
          <t>fill_udl_char = UDL_total - UDL_1 (kN/m)</t>
        </is>
      </c>
      <c r="B78" s="12">
        <f>UDL_total-UDL_1</f>
        <v/>
      </c>
    </row>
    <row r="79">
      <c r="A79" t="inlineStr">
        <is>
          <t>surcharge_road = road_dev * road_udl_char (kN/m)</t>
        </is>
      </c>
      <c r="B79" s="12">
        <f>road_dev_fav*B77</f>
        <v/>
      </c>
    </row>
    <row r="80">
      <c r="A80" t="inlineStr">
        <is>
          <t>active_surcharge = Ka_earth*gamma_super*(surcharge_road+fill_udl_char)*H_ext (kN)</t>
        </is>
      </c>
      <c r="B80" s="12">
        <f>Ka_earth_EQU*Superimposed_inf_EQU*(B79+B78)*H_ext</f>
        <v/>
      </c>
    </row>
    <row r="81">
      <c r="A81" t="inlineStr">
        <is>
          <t>passive_surcharge = Kmax*gamma_super*(surcharge_road+fill_udl_char)*H_ext (kN)</t>
        </is>
      </c>
      <c r="B81" s="12">
        <f>Kmax_EQU*Superimposed_inf_EQU*(B79+B78)*H_ext</f>
        <v/>
      </c>
    </row>
    <row r="82">
      <c r="A82" t="inlineStr">
        <is>
          <t>backfill_pressure = gamma_backfill * H_ext (kN/m2)</t>
        </is>
      </c>
      <c r="B82" s="12">
        <f>gamma_backfill*H_ext</f>
        <v/>
      </c>
    </row>
    <row r="83">
      <c r="A83" t="inlineStr">
        <is>
          <t>active_backfill = Ka_earth*gamma_self*backfill_pressure*H_ext/2 (kN)</t>
        </is>
      </c>
      <c r="B83" s="12">
        <f>Ka_earth_EQU*SelfWeight_inf_EQU*B82*H_ext/2</f>
        <v/>
      </c>
    </row>
    <row r="84">
      <c r="A84" t="inlineStr">
        <is>
          <t>passive_backfill = Kmax*gamma_self*backfill_pressure*H_ext/2 (kN)</t>
        </is>
      </c>
      <c r="B84" s="12">
        <f>Kmax_EQU*SelfWeight_inf_EQU*B82*H_ext/2</f>
        <v/>
      </c>
    </row>
    <row r="85">
      <c r="A85" t="inlineStr">
        <is>
          <t>total_passive = passive_surcharge + passive_backfill (kN)</t>
        </is>
      </c>
      <c r="B85" s="12">
        <f>B81+B84</f>
        <v/>
      </c>
    </row>
    <row r="86">
      <c r="A86" t="inlineStr">
        <is>
          <t>road_vertical = gamma_super * gamma_sd_ec * road_dev * road_udl_char * B_ext (kN)</t>
        </is>
      </c>
      <c r="B86" s="12">
        <f>Superimposed_inf_EQU*1*road_dev_fav*B77*B_ext</f>
        <v/>
      </c>
    </row>
    <row r="87">
      <c r="A87" t="inlineStr">
        <is>
          <t>fill_vertical = gamma_super * gamma_sd_ec * fill_udl_char * B_ext (kN)</t>
        </is>
      </c>
      <c r="B87" s="12">
        <f>Superimposed_inf_EQU*1*B78*B_ext</f>
        <v/>
      </c>
    </row>
    <row r="88">
      <c r="A88" t="inlineStr">
        <is>
          <t>self_weight_vertical = gamma_self * W_box (kN)</t>
        </is>
      </c>
      <c r="B88" s="12">
        <f>SelfWeight_inf_EQU*W_box</f>
        <v/>
      </c>
    </row>
    <row r="89">
      <c r="A89" t="inlineStr">
        <is>
          <t>common_vertical = road_vertical + fill_vertical + self_weight_vertical (kN)</t>
        </is>
      </c>
      <c r="B89" s="12">
        <f>B86+B87+B88</f>
        <v/>
      </c>
    </row>
    <row r="90">
      <c r="A90" s="3" t="inlineStr">
        <is>
          <t>LM1 Scenario — EQU</t>
        </is>
      </c>
      <c r="B90" s="4" t="n"/>
      <c r="C90" s="4" t="n"/>
      <c r="D90" s="4" t="n"/>
      <c r="E90" s="4" t="n"/>
      <c r="F90" s="4" t="n"/>
    </row>
    <row r="91">
      <c r="A91" t="inlineStr">
        <is>
          <t>active_line_load = Ka_traffic*gamma_Q*F_hll_1m_coeff (kN)</t>
        </is>
      </c>
      <c r="B91" s="12">
        <f>Ka_traffic_EQU*RoadTraffic_sup_EQU*F_hll_1m_coeff</f>
        <v/>
      </c>
    </row>
    <row r="92">
      <c r="A92" t="inlineStr">
        <is>
          <t>active_udl = Ka_traffic*gamma_Q*20*H_ext (kN)</t>
        </is>
      </c>
      <c r="B92" s="12">
        <f>Ka_traffic_EQU*RoadTraffic_sup_EQU*20.0*H_ext</f>
        <v/>
      </c>
    </row>
    <row r="93">
      <c r="A93" t="inlineStr">
        <is>
          <t>braking_char (kN)</t>
        </is>
      </c>
      <c r="B93" s="12">
        <f>Q_lk/L_L</f>
        <v/>
      </c>
    </row>
    <row r="94">
      <c r="A94" t="inlineStr">
        <is>
          <t>braking = gamma_Q * braking_char (kN)</t>
        </is>
      </c>
      <c r="B94" s="12">
        <f>RoadTraffic_sup_EQU*B93</f>
        <v/>
      </c>
    </row>
    <row r="95">
      <c r="A95" t="inlineStr">
        <is>
          <t>total_active = active_surcharge+active_backfill+active_line_load+active_udl+braking (kN)</t>
        </is>
      </c>
      <c r="B95" s="12">
        <f>B80+B83+B91+B92+B94</f>
        <v/>
      </c>
    </row>
    <row r="96">
      <c r="A96" t="inlineStr">
        <is>
          <t>vertical_char (kN)</t>
        </is>
      </c>
      <c r="B96" s="12">
        <f>lane1_udl*B_ext+patch_load*disp_m*2</f>
        <v/>
      </c>
    </row>
    <row r="97">
      <c r="A97" t="inlineStr">
        <is>
          <t>vertical = gamma_Q * vertical_char (kN)</t>
        </is>
      </c>
      <c r="B97" s="12">
        <f>RoadTraffic_sup_EQU*B96</f>
        <v/>
      </c>
    </row>
    <row r="98">
      <c r="A98" t="inlineStr">
        <is>
          <t>V_d = common_vertical + vertical - buoyancy (kN)</t>
        </is>
      </c>
      <c r="B98" s="12">
        <f>B89+B97-B75</f>
        <v/>
      </c>
    </row>
    <row r="99">
      <c r="A99" t="inlineStr">
        <is>
          <t>delta_d = ATAN(TAN(RADIANS(phi_founding))/gamma_M) (deg)</t>
        </is>
      </c>
      <c r="B99" s="12">
        <f>DEGREES(ATAN(TAN(RADIANS(phi_founding))/MaterialM_EQU))</f>
        <v/>
      </c>
    </row>
    <row r="100">
      <c r="A100" t="inlineStr">
        <is>
          <t>max_Rd = V_d * TAN(RADIANS(delta_d)) (kN)</t>
        </is>
      </c>
      <c r="B100" s="12">
        <f>B98*TAN(RADIANS(B99))</f>
        <v/>
      </c>
    </row>
    <row r="101">
      <c r="A101" t="inlineStr">
        <is>
          <t>friction_required = total_active - total_passive (kN)</t>
        </is>
      </c>
      <c r="B101" s="12">
        <f>B95-B85</f>
        <v/>
      </c>
    </row>
    <row r="102">
      <c r="A102" t="inlineStr">
        <is>
          <t>SLIDING margin = max_Rd - friction_required (kN)</t>
        </is>
      </c>
      <c r="B102" s="12">
        <f>B100-B101</f>
        <v/>
      </c>
    </row>
    <row r="103">
      <c r="A103" t="inlineStr">
        <is>
          <t>Sliding OK? (margin &gt;= 0)</t>
        </is>
      </c>
      <c r="B103">
        <f>B102&gt;=0</f>
        <v/>
      </c>
    </row>
    <row r="104">
      <c r="A104" t="inlineStr">
        <is>
          <t>UR_sliding = MAX(0,friction_required)/max_Rd (%)</t>
        </is>
      </c>
      <c r="B104" s="11">
        <f>MAX(0,B101)/B100*100</f>
        <v/>
      </c>
    </row>
    <row r="105">
      <c r="A105" t="inlineStr">
        <is>
          <t>M_active = act_surch*(H_ext/2)+act_bkfl*(H_ext/3)+line_load*H_ext+udl*(H_ext/2)+braking*H_ext (kNm)</t>
        </is>
      </c>
      <c r="B105" s="12">
        <f>B80*(H_ext/2)+B83*(H_ext/3)+B91*H_ext+B92*(H_ext/2)+B94*H_ext</f>
        <v/>
      </c>
    </row>
    <row r="106">
      <c r="A106" t="inlineStr">
        <is>
          <t>M_passive = pass_surch*(H_ext/2) + pass_bkfl*(H_ext/3) (kNm)</t>
        </is>
      </c>
      <c r="B106" s="12">
        <f>B81*(H_ext/2)+B84*(H_ext/3)</f>
        <v/>
      </c>
    </row>
    <row r="107">
      <c r="A107" t="inlineStr">
        <is>
          <t>M_driving = MAX(0, M_active - M_passive) (kNm)</t>
        </is>
      </c>
      <c r="B107" s="12">
        <f>MAX(0,B105-B106)</f>
        <v/>
      </c>
    </row>
    <row r="108">
      <c r="A108" t="inlineStr">
        <is>
          <t>M_stabilizing = V_d * B_ext/2 (kNm)</t>
        </is>
      </c>
      <c r="B108" s="12">
        <f>B98*B_ext/2</f>
        <v/>
      </c>
    </row>
    <row r="109">
      <c r="A109" t="inlineStr">
        <is>
          <t>OVERTURNING margin = M_stabilizing - M_driving (kNm)</t>
        </is>
      </c>
      <c r="B109" s="12">
        <f>B108-B107</f>
        <v/>
      </c>
    </row>
    <row r="110">
      <c r="A110" t="inlineStr">
        <is>
          <t>Overturning OK? (ot_margin &gt;= 0)</t>
        </is>
      </c>
      <c r="B110">
        <f>B109&gt;=0</f>
        <v/>
      </c>
    </row>
    <row r="111">
      <c r="A111" t="inlineStr">
        <is>
          <t>UR_overturning = MAX(0,M_driving)/M_stabilizing (%)</t>
        </is>
      </c>
      <c r="B111" s="11">
        <f>MAX(0,B107)/B108*100</f>
        <v/>
      </c>
    </row>
    <row r="112">
      <c r="A112" s="3" t="inlineStr">
        <is>
          <t>LM3 Scenario — EQU</t>
        </is>
      </c>
      <c r="B112" s="4" t="n"/>
      <c r="C112" s="4" t="n"/>
      <c r="D112" s="4" t="n"/>
      <c r="E112" s="4" t="n"/>
      <c r="F112" s="4" t="n"/>
    </row>
    <row r="113">
      <c r="A113" t="inlineStr">
        <is>
          <t>active_line_load = Ka_traffic*gamma_Q*F_hll_1m_coeff (kN)</t>
        </is>
      </c>
      <c r="B113" s="12">
        <f>Ka_traffic_EQU*RoadTraffic_sup_EQU*F_hll_1m_coeff</f>
        <v/>
      </c>
    </row>
    <row r="114">
      <c r="A114" t="inlineStr">
        <is>
          <t>active_udl = Ka_traffic*gamma_Q*30*H_ext (kN)</t>
        </is>
      </c>
      <c r="B114" s="12">
        <f>Ka_traffic_EQU*RoadTraffic_sup_EQU*30.0*H_ext</f>
        <v/>
      </c>
    </row>
    <row r="115">
      <c r="A115" t="inlineStr">
        <is>
          <t>braking_char (kN)</t>
        </is>
      </c>
      <c r="B115" s="12">
        <f>Q_brk_per_m</f>
        <v/>
      </c>
    </row>
    <row r="116">
      <c r="A116" t="inlineStr">
        <is>
          <t>braking = gamma_Q * braking_char (kN)</t>
        </is>
      </c>
      <c r="B116" s="12">
        <f>RoadTraffic_sup_EQU*B115</f>
        <v/>
      </c>
    </row>
    <row r="117">
      <c r="A117" t="inlineStr">
        <is>
          <t>total_active = active_surcharge+active_backfill+active_line_load+active_udl+braking (kN)</t>
        </is>
      </c>
      <c r="B117" s="12">
        <f>B80+B83+B113+B114+B116</f>
        <v/>
      </c>
    </row>
    <row r="118">
      <c r="A118" t="inlineStr">
        <is>
          <t>vertical_char (kN)</t>
        </is>
      </c>
      <c r="B118" s="12">
        <f>max_V_per_m</f>
        <v/>
      </c>
    </row>
    <row r="119">
      <c r="A119" t="inlineStr">
        <is>
          <t>vertical = gamma_Q * vertical_char (kN)</t>
        </is>
      </c>
      <c r="B119" s="12">
        <f>RoadTraffic_sup_EQU*B118</f>
        <v/>
      </c>
    </row>
    <row r="120">
      <c r="A120" t="inlineStr">
        <is>
          <t>V_d = common_vertical + vertical - buoyancy (kN)</t>
        </is>
      </c>
      <c r="B120" s="12">
        <f>B89+B119-B75</f>
        <v/>
      </c>
    </row>
    <row r="121">
      <c r="A121" t="inlineStr">
        <is>
          <t>delta_d = ATAN(TAN(RADIANS(phi_founding))/gamma_M) (deg)</t>
        </is>
      </c>
      <c r="B121" s="12">
        <f>DEGREES(ATAN(TAN(RADIANS(phi_founding))/MaterialM_EQU))</f>
        <v/>
      </c>
    </row>
    <row r="122">
      <c r="A122" t="inlineStr">
        <is>
          <t>max_Rd = V_d * TAN(RADIANS(delta_d)) (kN)</t>
        </is>
      </c>
      <c r="B122" s="12">
        <f>B120*TAN(RADIANS(B121))</f>
        <v/>
      </c>
    </row>
    <row r="123">
      <c r="A123" t="inlineStr">
        <is>
          <t>friction_required = total_active - total_passive (kN)</t>
        </is>
      </c>
      <c r="B123" s="12">
        <f>B117-B85</f>
        <v/>
      </c>
    </row>
    <row r="124">
      <c r="A124" t="inlineStr">
        <is>
          <t>SLIDING margin = max_Rd - friction_required (kN)</t>
        </is>
      </c>
      <c r="B124" s="12">
        <f>B122-B123</f>
        <v/>
      </c>
    </row>
    <row r="125">
      <c r="A125" t="inlineStr">
        <is>
          <t>Sliding OK? (margin &gt;= 0)</t>
        </is>
      </c>
      <c r="B125">
        <f>B124&gt;=0</f>
        <v/>
      </c>
    </row>
    <row r="126">
      <c r="A126" t="inlineStr">
        <is>
          <t>UR_sliding = MAX(0,friction_required)/max_Rd (%)</t>
        </is>
      </c>
      <c r="B126" s="11">
        <f>MAX(0,B123)/B122*100</f>
        <v/>
      </c>
    </row>
    <row r="127">
      <c r="A127" t="inlineStr">
        <is>
          <t>M_active = act_surch*(H_ext/2)+act_bkfl*(H_ext/3)+line_load*H_ext+udl*(H_ext/2)+braking*H_ext (kNm)</t>
        </is>
      </c>
      <c r="B127" s="12">
        <f>B80*(H_ext/2)+B83*(H_ext/3)+B113*H_ext+B114*(H_ext/2)+B116*H_ext</f>
        <v/>
      </c>
    </row>
    <row r="128">
      <c r="A128" t="inlineStr">
        <is>
          <t>M_passive = pass_surch*(H_ext/2) + pass_bkfl*(H_ext/3) (kNm)</t>
        </is>
      </c>
      <c r="B128" s="12">
        <f>B81*(H_ext/2)+B84*(H_ext/3)</f>
        <v/>
      </c>
    </row>
    <row r="129">
      <c r="A129" t="inlineStr">
        <is>
          <t>M_driving = MAX(0, M_active - M_passive) (kNm)</t>
        </is>
      </c>
      <c r="B129" s="12">
        <f>MAX(0,B127-B128)</f>
        <v/>
      </c>
    </row>
    <row r="130">
      <c r="A130" t="inlineStr">
        <is>
          <t>M_stabilizing = V_d * B_ext/2 (kNm)</t>
        </is>
      </c>
      <c r="B130" s="12">
        <f>B120*B_ext/2</f>
        <v/>
      </c>
    </row>
    <row r="131">
      <c r="A131" t="inlineStr">
        <is>
          <t>OVERTURNING margin = M_stabilizing - M_driving (kNm)</t>
        </is>
      </c>
      <c r="B131" s="12">
        <f>B130-B129</f>
        <v/>
      </c>
    </row>
    <row r="132">
      <c r="A132" t="inlineStr">
        <is>
          <t>Overturning OK? (ot_margin &gt;= 0)</t>
        </is>
      </c>
      <c r="B132">
        <f>B131&gt;=0</f>
        <v/>
      </c>
    </row>
    <row r="133">
      <c r="A133" t="inlineStr">
        <is>
          <t>UR_overturning = MAX(0,M_driving)/M_stabilizing (%)</t>
        </is>
      </c>
      <c r="B133" s="11">
        <f>MAX(0,B129)/B130*100</f>
        <v/>
      </c>
    </row>
    <row r="134">
      <c r="A134" t="inlineStr">
        <is>
          <t>Governing (sliding) — LM1 if its margin is smaller</t>
        </is>
      </c>
      <c r="B134">
        <f>IF(B102&lt;B124,"LM1","LM3")</f>
        <v/>
      </c>
    </row>
    <row r="135">
      <c r="A135" t="inlineStr">
        <is>
          <t>Governing (overturning) — LM1 if its margin is smaller</t>
        </is>
      </c>
      <c r="B135">
        <f>IF(B109&lt;B131,"LM1","LM3")</f>
        <v/>
      </c>
    </row>
    <row r="137" ht="20" customHeight="1">
      <c r="A137" s="1" t="inlineStr">
        <is>
          <t>Sliding &amp; Overturning at STR/GEO Comb1</t>
        </is>
      </c>
      <c r="B137" s="2" t="n"/>
    </row>
    <row r="139">
      <c r="A139" t="inlineStr">
        <is>
          <t>F_buoyancy = WaterPressure_sup_STR_GEO_Comb1 * F_buoyancy_char (kN)</t>
        </is>
      </c>
      <c r="B139" s="12">
        <f>WaterPressure_sup_STR_GEO_Comb1*B7</f>
        <v/>
      </c>
    </row>
    <row r="140">
      <c r="A140" s="3" t="inlineStr">
        <is>
          <t>Common Terms — STR/GEO Comb1 (favourable/min)</t>
        </is>
      </c>
      <c r="B140" s="4" t="n"/>
      <c r="C140" s="4" t="n"/>
      <c r="D140" s="4" t="n"/>
      <c r="E140" s="4" t="n"/>
      <c r="F140" s="4" t="n"/>
    </row>
    <row r="141">
      <c r="A141" t="inlineStr">
        <is>
          <t>road_udl_char = UDL_1 (kN/m)</t>
        </is>
      </c>
      <c r="B141" s="12">
        <f>UDL_1</f>
        <v/>
      </c>
    </row>
    <row r="142">
      <c r="A142" t="inlineStr">
        <is>
          <t>fill_udl_char = UDL_total - UDL_1 (kN/m)</t>
        </is>
      </c>
      <c r="B142" s="12">
        <f>UDL_total-UDL_1</f>
        <v/>
      </c>
    </row>
    <row r="143">
      <c r="A143" t="inlineStr">
        <is>
          <t>surcharge_road = road_dev * road_udl_char (kN/m)</t>
        </is>
      </c>
      <c r="B143" s="12">
        <f>road_dev_fav*B141</f>
        <v/>
      </c>
    </row>
    <row r="144">
      <c r="A144" t="inlineStr">
        <is>
          <t>active_surcharge = Ka_earth*gamma_super*(surcharge_road+fill_udl_char)*H_ext (kN)</t>
        </is>
      </c>
      <c r="B144" s="12">
        <f>Ka_earth_STR_GEO_Comb1*Superimposed_inf_STR_GEO_Comb1*(B143+B142)*H_ext</f>
        <v/>
      </c>
    </row>
    <row r="145">
      <c r="A145" t="inlineStr">
        <is>
          <t>passive_surcharge = Kmax*gamma_super*(surcharge_road+fill_udl_char)*H_ext (kN)</t>
        </is>
      </c>
      <c r="B145" s="12">
        <f>Kmax_STR_GEO_Comb1*Superimposed_inf_STR_GEO_Comb1*(B143+B142)*H_ext</f>
        <v/>
      </c>
    </row>
    <row r="146">
      <c r="A146" t="inlineStr">
        <is>
          <t>backfill_pressure = gamma_backfill * H_ext (kN/m2)</t>
        </is>
      </c>
      <c r="B146" s="12">
        <f>gamma_backfill*H_ext</f>
        <v/>
      </c>
    </row>
    <row r="147">
      <c r="A147" t="inlineStr">
        <is>
          <t>active_backfill = Ka_earth*gamma_self*backfill_pressure*H_ext/2 (kN)</t>
        </is>
      </c>
      <c r="B147" s="12">
        <f>Ka_earth_STR_GEO_Comb1*SelfWeight_inf_STR_GEO_Comb1*B146*H_ext/2</f>
        <v/>
      </c>
    </row>
    <row r="148">
      <c r="A148" t="inlineStr">
        <is>
          <t>passive_backfill = Kmax*gamma_self*backfill_pressure*H_ext/2 (kN)</t>
        </is>
      </c>
      <c r="B148" s="12">
        <f>Kmax_STR_GEO_Comb1*SelfWeight_inf_STR_GEO_Comb1*B146*H_ext/2</f>
        <v/>
      </c>
    </row>
    <row r="149">
      <c r="A149" t="inlineStr">
        <is>
          <t>total_passive = passive_surcharge + passive_backfill (kN)</t>
        </is>
      </c>
      <c r="B149" s="12">
        <f>B145+B148</f>
        <v/>
      </c>
    </row>
    <row r="150">
      <c r="A150" t="inlineStr">
        <is>
          <t>road_vertical = gamma_super * gamma_sd_ec * road_dev * road_udl_char * B_ext (kN)</t>
        </is>
      </c>
      <c r="B150" s="12">
        <f>Superimposed_inf_STR_GEO_Comb1*1*road_dev_fav*B141*B_ext</f>
        <v/>
      </c>
    </row>
    <row r="151">
      <c r="A151" t="inlineStr">
        <is>
          <t>fill_vertical = gamma_super * gamma_sd_ec * fill_udl_char * B_ext (kN)</t>
        </is>
      </c>
      <c r="B151" s="12">
        <f>Superimposed_inf_STR_GEO_Comb1*1*B142*B_ext</f>
        <v/>
      </c>
    </row>
    <row r="152">
      <c r="A152" t="inlineStr">
        <is>
          <t>self_weight_vertical = gamma_self * W_box (kN)</t>
        </is>
      </c>
      <c r="B152" s="12">
        <f>SelfWeight_inf_STR_GEO_Comb1*W_box</f>
        <v/>
      </c>
    </row>
    <row r="153">
      <c r="A153" t="inlineStr">
        <is>
          <t>common_vertical = road_vertical + fill_vertical + self_weight_vertical (kN)</t>
        </is>
      </c>
      <c r="B153" s="12">
        <f>B150+B151+B152</f>
        <v/>
      </c>
    </row>
    <row r="154">
      <c r="A154" s="3" t="inlineStr">
        <is>
          <t>LM1 Scenario — STR/GEO Comb1</t>
        </is>
      </c>
      <c r="B154" s="4" t="n"/>
      <c r="C154" s="4" t="n"/>
      <c r="D154" s="4" t="n"/>
      <c r="E154" s="4" t="n"/>
      <c r="F154" s="4" t="n"/>
    </row>
    <row r="155">
      <c r="A155" t="inlineStr">
        <is>
          <t>active_line_load = Ka_traffic*gamma_Q*F_hll_1m_coeff (kN)</t>
        </is>
      </c>
      <c r="B155" s="12">
        <f>Ka_traffic_STR_GEO_Comb1*RoadTraffic_sup_STR_GEO_Comb1*F_hll_1m_coeff</f>
        <v/>
      </c>
    </row>
    <row r="156">
      <c r="A156" t="inlineStr">
        <is>
          <t>active_udl = Ka_traffic*gamma_Q*20*H_ext (kN)</t>
        </is>
      </c>
      <c r="B156" s="12">
        <f>Ka_traffic_STR_GEO_Comb1*RoadTraffic_sup_STR_GEO_Comb1*20.0*H_ext</f>
        <v/>
      </c>
    </row>
    <row r="157">
      <c r="A157" t="inlineStr">
        <is>
          <t>braking_char (kN)</t>
        </is>
      </c>
      <c r="B157" s="12">
        <f>Q_lk/L_L</f>
        <v/>
      </c>
    </row>
    <row r="158">
      <c r="A158" t="inlineStr">
        <is>
          <t>braking = gamma_Q * braking_char (kN)</t>
        </is>
      </c>
      <c r="B158" s="12">
        <f>RoadTraffic_sup_STR_GEO_Comb1*B157</f>
        <v/>
      </c>
    </row>
    <row r="159">
      <c r="A159" t="inlineStr">
        <is>
          <t>total_active = active_surcharge+active_backfill+active_line_load+active_udl+braking (kN)</t>
        </is>
      </c>
      <c r="B159" s="12">
        <f>B144+B147+B155+B156+B158</f>
        <v/>
      </c>
    </row>
    <row r="160">
      <c r="A160" t="inlineStr">
        <is>
          <t>vertical_char (kN)</t>
        </is>
      </c>
      <c r="B160" s="12">
        <f>lane1_udl*B_ext+patch_load*disp_m*2</f>
        <v/>
      </c>
    </row>
    <row r="161">
      <c r="A161" t="inlineStr">
        <is>
          <t>vertical = gamma_Q * vertical_char (kN)</t>
        </is>
      </c>
      <c r="B161" s="12">
        <f>RoadTraffic_sup_STR_GEO_Comb1*B160</f>
        <v/>
      </c>
    </row>
    <row r="162">
      <c r="A162" t="inlineStr">
        <is>
          <t>V_d = common_vertical + vertical - buoyancy (kN)</t>
        </is>
      </c>
      <c r="B162" s="12">
        <f>B153+B161-B139</f>
        <v/>
      </c>
    </row>
    <row r="163">
      <c r="A163" t="inlineStr">
        <is>
          <t>delta_d = ATAN(TAN(RADIANS(phi_founding))/gamma_M) (deg)</t>
        </is>
      </c>
      <c r="B163" s="12">
        <f>DEGREES(ATAN(TAN(RADIANS(phi_founding))/MaterialM_STR_GEO_Comb1))</f>
        <v/>
      </c>
    </row>
    <row r="164">
      <c r="A164" t="inlineStr">
        <is>
          <t>max_Rd = V_d * TAN(RADIANS(delta_d)) (kN)</t>
        </is>
      </c>
      <c r="B164" s="12">
        <f>B162*TAN(RADIANS(B163))</f>
        <v/>
      </c>
    </row>
    <row r="165">
      <c r="A165" t="inlineStr">
        <is>
          <t>friction_required = total_active - total_passive (kN)</t>
        </is>
      </c>
      <c r="B165" s="12">
        <f>B159-B149</f>
        <v/>
      </c>
    </row>
    <row r="166">
      <c r="A166" t="inlineStr">
        <is>
          <t>SLIDING margin = max_Rd - friction_required (kN)</t>
        </is>
      </c>
      <c r="B166" s="12">
        <f>B164-B165</f>
        <v/>
      </c>
    </row>
    <row r="167">
      <c r="A167" t="inlineStr">
        <is>
          <t>Sliding OK? (margin &gt;= 0)</t>
        </is>
      </c>
      <c r="B167">
        <f>B166&gt;=0</f>
        <v/>
      </c>
    </row>
    <row r="168">
      <c r="A168" t="inlineStr">
        <is>
          <t>UR_sliding = MAX(0,friction_required)/max_Rd (%)</t>
        </is>
      </c>
      <c r="B168" s="11">
        <f>MAX(0,B165)/B164*100</f>
        <v/>
      </c>
    </row>
    <row r="169">
      <c r="A169" t="inlineStr">
        <is>
          <t>M_active = act_surch*(H_ext/2)+act_bkfl*(H_ext/3)+line_load*H_ext+udl*(H_ext/2)+braking*H_ext (kNm)</t>
        </is>
      </c>
      <c r="B169" s="12">
        <f>B144*(H_ext/2)+B147*(H_ext/3)+B155*H_ext+B156*(H_ext/2)+B158*H_ext</f>
        <v/>
      </c>
    </row>
    <row r="170">
      <c r="A170" t="inlineStr">
        <is>
          <t>M_passive = pass_surch*(H_ext/2) + pass_bkfl*(H_ext/3) (kNm)</t>
        </is>
      </c>
      <c r="B170" s="12">
        <f>B145*(H_ext/2)+B148*(H_ext/3)</f>
        <v/>
      </c>
    </row>
    <row r="171">
      <c r="A171" t="inlineStr">
        <is>
          <t>M_driving = MAX(0, M_active - M_passive) (kNm)</t>
        </is>
      </c>
      <c r="B171" s="12">
        <f>MAX(0,B169-B170)</f>
        <v/>
      </c>
    </row>
    <row r="172">
      <c r="A172" t="inlineStr">
        <is>
          <t>M_stabilizing = V_d * B_ext/2 (kNm)</t>
        </is>
      </c>
      <c r="B172" s="12">
        <f>B162*B_ext/2</f>
        <v/>
      </c>
    </row>
    <row r="173">
      <c r="A173" t="inlineStr">
        <is>
          <t>OVERTURNING margin = M_stabilizing - M_driving (kNm)</t>
        </is>
      </c>
      <c r="B173" s="12">
        <f>B172-B171</f>
        <v/>
      </c>
    </row>
    <row r="174">
      <c r="A174" t="inlineStr">
        <is>
          <t>Overturning OK? (ot_margin &gt;= 0)</t>
        </is>
      </c>
      <c r="B174">
        <f>B173&gt;=0</f>
        <v/>
      </c>
    </row>
    <row r="175">
      <c r="A175" t="inlineStr">
        <is>
          <t>UR_overturning = MAX(0,M_driving)/M_stabilizing (%)</t>
        </is>
      </c>
      <c r="B175" s="11">
        <f>MAX(0,B171)/B172*100</f>
        <v/>
      </c>
    </row>
    <row r="176">
      <c r="A176" s="3" t="inlineStr">
        <is>
          <t>LM3 Scenario — STR/GEO Comb1</t>
        </is>
      </c>
      <c r="B176" s="4" t="n"/>
      <c r="C176" s="4" t="n"/>
      <c r="D176" s="4" t="n"/>
      <c r="E176" s="4" t="n"/>
      <c r="F176" s="4" t="n"/>
    </row>
    <row r="177">
      <c r="A177" t="inlineStr">
        <is>
          <t>active_line_load = Ka_traffic*gamma_Q*F_hll_1m_coeff (kN)</t>
        </is>
      </c>
      <c r="B177" s="12">
        <f>Ka_traffic_STR_GEO_Comb1*RoadTraffic_sup_STR_GEO_Comb1*F_hll_1m_coeff</f>
        <v/>
      </c>
    </row>
    <row r="178">
      <c r="A178" t="inlineStr">
        <is>
          <t>active_udl = Ka_traffic*gamma_Q*30*H_ext (kN)</t>
        </is>
      </c>
      <c r="B178" s="12">
        <f>Ka_traffic_STR_GEO_Comb1*RoadTraffic_sup_STR_GEO_Comb1*30.0*H_ext</f>
        <v/>
      </c>
    </row>
    <row r="179">
      <c r="A179" t="inlineStr">
        <is>
          <t>braking_char (kN)</t>
        </is>
      </c>
      <c r="B179" s="12">
        <f>Q_brk_per_m</f>
        <v/>
      </c>
    </row>
    <row r="180">
      <c r="A180" t="inlineStr">
        <is>
          <t>braking = gamma_Q * braking_char (kN)</t>
        </is>
      </c>
      <c r="B180" s="12">
        <f>RoadTraffic_sup_STR_GEO_Comb1*B179</f>
        <v/>
      </c>
    </row>
    <row r="181">
      <c r="A181" t="inlineStr">
        <is>
          <t>total_active = active_surcharge+active_backfill+active_line_load+active_udl+braking (kN)</t>
        </is>
      </c>
      <c r="B181" s="12">
        <f>B144+B147+B177+B178+B180</f>
        <v/>
      </c>
    </row>
    <row r="182">
      <c r="A182" t="inlineStr">
        <is>
          <t>vertical_char (kN)</t>
        </is>
      </c>
      <c r="B182" s="12">
        <f>max_V_per_m</f>
        <v/>
      </c>
    </row>
    <row r="183">
      <c r="A183" t="inlineStr">
        <is>
          <t>vertical = gamma_Q * vertical_char (kN)</t>
        </is>
      </c>
      <c r="B183" s="12">
        <f>RoadTraffic_sup_STR_GEO_Comb1*B182</f>
        <v/>
      </c>
    </row>
    <row r="184">
      <c r="A184" t="inlineStr">
        <is>
          <t>V_d = common_vertical + vertical - buoyancy (kN)</t>
        </is>
      </c>
      <c r="B184" s="12">
        <f>B153+B183-B139</f>
        <v/>
      </c>
    </row>
    <row r="185">
      <c r="A185" t="inlineStr">
        <is>
          <t>delta_d = ATAN(TAN(RADIANS(phi_founding))/gamma_M) (deg)</t>
        </is>
      </c>
      <c r="B185" s="12">
        <f>DEGREES(ATAN(TAN(RADIANS(phi_founding))/MaterialM_STR_GEO_Comb1))</f>
        <v/>
      </c>
    </row>
    <row r="186">
      <c r="A186" t="inlineStr">
        <is>
          <t>max_Rd = V_d * TAN(RADIANS(delta_d)) (kN)</t>
        </is>
      </c>
      <c r="B186" s="12">
        <f>B184*TAN(RADIANS(B185))</f>
        <v/>
      </c>
    </row>
    <row r="187">
      <c r="A187" t="inlineStr">
        <is>
          <t>friction_required = total_active - total_passive (kN)</t>
        </is>
      </c>
      <c r="B187" s="12">
        <f>B181-B149</f>
        <v/>
      </c>
    </row>
    <row r="188">
      <c r="A188" t="inlineStr">
        <is>
          <t>SLIDING margin = max_Rd - friction_required (kN)</t>
        </is>
      </c>
      <c r="B188" s="12">
        <f>B186-B187</f>
        <v/>
      </c>
    </row>
    <row r="189">
      <c r="A189" t="inlineStr">
        <is>
          <t>Sliding OK? (margin &gt;= 0)</t>
        </is>
      </c>
      <c r="B189">
        <f>B188&gt;=0</f>
        <v/>
      </c>
    </row>
    <row r="190">
      <c r="A190" t="inlineStr">
        <is>
          <t>UR_sliding = MAX(0,friction_required)/max_Rd (%)</t>
        </is>
      </c>
      <c r="B190" s="11">
        <f>MAX(0,B187)/B186*100</f>
        <v/>
      </c>
    </row>
    <row r="191">
      <c r="A191" t="inlineStr">
        <is>
          <t>M_active = act_surch*(H_ext/2)+act_bkfl*(H_ext/3)+line_load*H_ext+udl*(H_ext/2)+braking*H_ext (kNm)</t>
        </is>
      </c>
      <c r="B191" s="12">
        <f>B144*(H_ext/2)+B147*(H_ext/3)+B177*H_ext+B178*(H_ext/2)+B180*H_ext</f>
        <v/>
      </c>
    </row>
    <row r="192">
      <c r="A192" t="inlineStr">
        <is>
          <t>M_passive = pass_surch*(H_ext/2) + pass_bkfl*(H_ext/3) (kNm)</t>
        </is>
      </c>
      <c r="B192" s="12">
        <f>B145*(H_ext/2)+B148*(H_ext/3)</f>
        <v/>
      </c>
    </row>
    <row r="193">
      <c r="A193" t="inlineStr">
        <is>
          <t>M_driving = MAX(0, M_active - M_passive) (kNm)</t>
        </is>
      </c>
      <c r="B193" s="12">
        <f>MAX(0,B191-B192)</f>
        <v/>
      </c>
    </row>
    <row r="194">
      <c r="A194" t="inlineStr">
        <is>
          <t>M_stabilizing = V_d * B_ext/2 (kNm)</t>
        </is>
      </c>
      <c r="B194" s="12">
        <f>B184*B_ext/2</f>
        <v/>
      </c>
    </row>
    <row r="195">
      <c r="A195" t="inlineStr">
        <is>
          <t>OVERTURNING margin = M_stabilizing - M_driving (kNm)</t>
        </is>
      </c>
      <c r="B195" s="12">
        <f>B194-B193</f>
        <v/>
      </c>
    </row>
    <row r="196">
      <c r="A196" t="inlineStr">
        <is>
          <t>Overturning OK? (ot_margin &gt;= 0)</t>
        </is>
      </c>
      <c r="B196">
        <f>B195&gt;=0</f>
        <v/>
      </c>
    </row>
    <row r="197">
      <c r="A197" t="inlineStr">
        <is>
          <t>UR_overturning = MAX(0,M_driving)/M_stabilizing (%)</t>
        </is>
      </c>
      <c r="B197" s="11">
        <f>MAX(0,B193)/B194*100</f>
        <v/>
      </c>
    </row>
    <row r="198">
      <c r="A198" t="inlineStr">
        <is>
          <t>Governing (sliding) — LM1 if its margin is smaller</t>
        </is>
      </c>
      <c r="B198">
        <f>IF(B166&lt;B188,"LM1","LM3")</f>
        <v/>
      </c>
    </row>
    <row r="199">
      <c r="A199" t="inlineStr">
        <is>
          <t>Governing (overturning) — LM1 if its margin is smaller</t>
        </is>
      </c>
      <c r="B199">
        <f>IF(B173&lt;B195,"LM1","LM3")</f>
        <v/>
      </c>
    </row>
    <row r="201" ht="20" customHeight="1">
      <c r="A201" s="1" t="inlineStr">
        <is>
          <t>Sliding &amp; Overturning at STR/GEO Comb2</t>
        </is>
      </c>
      <c r="B201" s="2" t="n"/>
    </row>
    <row r="203">
      <c r="A203" t="inlineStr">
        <is>
          <t>F_buoyancy = WaterPressure_sup_STR_GEO_Comb2 * F_buoyancy_char (kN)</t>
        </is>
      </c>
      <c r="B203" s="12">
        <f>WaterPressure_sup_STR_GEO_Comb2*B7</f>
        <v/>
      </c>
    </row>
    <row r="204">
      <c r="A204" s="3" t="inlineStr">
        <is>
          <t>Common Terms — STR/GEO Comb2 (favourable/min)</t>
        </is>
      </c>
      <c r="B204" s="4" t="n"/>
      <c r="C204" s="4" t="n"/>
      <c r="D204" s="4" t="n"/>
      <c r="E204" s="4" t="n"/>
      <c r="F204" s="4" t="n"/>
    </row>
    <row r="205">
      <c r="A205" t="inlineStr">
        <is>
          <t>road_udl_char = UDL_1 (kN/m)</t>
        </is>
      </c>
      <c r="B205" s="12">
        <f>UDL_1</f>
        <v/>
      </c>
    </row>
    <row r="206">
      <c r="A206" t="inlineStr">
        <is>
          <t>fill_udl_char = UDL_total - UDL_1 (kN/m)</t>
        </is>
      </c>
      <c r="B206" s="12">
        <f>UDL_total-UDL_1</f>
        <v/>
      </c>
    </row>
    <row r="207">
      <c r="A207" t="inlineStr">
        <is>
          <t>surcharge_road = road_dev * road_udl_char (kN/m)</t>
        </is>
      </c>
      <c r="B207" s="12">
        <f>road_dev_fav*B205</f>
        <v/>
      </c>
    </row>
    <row r="208">
      <c r="A208" t="inlineStr">
        <is>
          <t>active_surcharge = Ka_earth*gamma_super*(surcharge_road+fill_udl_char)*H_ext (kN)</t>
        </is>
      </c>
      <c r="B208" s="12">
        <f>Ka_earth_STR_GEO_Comb2*Superimposed_inf_STR_GEO_Comb2*(B207+B206)*H_ext</f>
        <v/>
      </c>
    </row>
    <row r="209">
      <c r="A209" t="inlineStr">
        <is>
          <t>passive_surcharge = Kmax*gamma_super*(surcharge_road+fill_udl_char)*H_ext (kN)</t>
        </is>
      </c>
      <c r="B209" s="12">
        <f>Kmax_STR_GEO_Comb2*Superimposed_inf_STR_GEO_Comb2*(B207+B206)*H_ext</f>
        <v/>
      </c>
    </row>
    <row r="210">
      <c r="A210" t="inlineStr">
        <is>
          <t>backfill_pressure = gamma_backfill * H_ext (kN/m2)</t>
        </is>
      </c>
      <c r="B210" s="12">
        <f>gamma_backfill*H_ext</f>
        <v/>
      </c>
    </row>
    <row r="211">
      <c r="A211" t="inlineStr">
        <is>
          <t>active_backfill = Ka_earth*gamma_self*backfill_pressure*H_ext/2 (kN)</t>
        </is>
      </c>
      <c r="B211" s="12">
        <f>Ka_earth_STR_GEO_Comb2*SelfWeight_inf_STR_GEO_Comb2*B210*H_ext/2</f>
        <v/>
      </c>
    </row>
    <row r="212">
      <c r="A212" t="inlineStr">
        <is>
          <t>passive_backfill = Kmax*gamma_self*backfill_pressure*H_ext/2 (kN)</t>
        </is>
      </c>
      <c r="B212" s="12">
        <f>Kmax_STR_GEO_Comb2*SelfWeight_inf_STR_GEO_Comb2*B210*H_ext/2</f>
        <v/>
      </c>
    </row>
    <row r="213">
      <c r="A213" t="inlineStr">
        <is>
          <t>total_passive = passive_surcharge + passive_backfill (kN)</t>
        </is>
      </c>
      <c r="B213" s="12">
        <f>B209+B212</f>
        <v/>
      </c>
    </row>
    <row r="214">
      <c r="A214" t="inlineStr">
        <is>
          <t>road_vertical = gamma_super * gamma_sd_ec * road_dev * road_udl_char * B_ext (kN)</t>
        </is>
      </c>
      <c r="B214" s="12">
        <f>Superimposed_inf_STR_GEO_Comb2*1*road_dev_fav*B205*B_ext</f>
        <v/>
      </c>
    </row>
    <row r="215">
      <c r="A215" t="inlineStr">
        <is>
          <t>fill_vertical = gamma_super * gamma_sd_ec * fill_udl_char * B_ext (kN)</t>
        </is>
      </c>
      <c r="B215" s="12">
        <f>Superimposed_inf_STR_GEO_Comb2*1*B206*B_ext</f>
        <v/>
      </c>
    </row>
    <row r="216">
      <c r="A216" t="inlineStr">
        <is>
          <t>self_weight_vertical = gamma_self * W_box (kN)</t>
        </is>
      </c>
      <c r="B216" s="12">
        <f>SelfWeight_inf_STR_GEO_Comb2*W_box</f>
        <v/>
      </c>
    </row>
    <row r="217">
      <c r="A217" t="inlineStr">
        <is>
          <t>common_vertical = road_vertical + fill_vertical + self_weight_vertical (kN)</t>
        </is>
      </c>
      <c r="B217" s="12">
        <f>B214+B215+B216</f>
        <v/>
      </c>
    </row>
    <row r="218">
      <c r="A218" s="3" t="inlineStr">
        <is>
          <t>LM1 Scenario — STR/GEO Comb2</t>
        </is>
      </c>
      <c r="B218" s="4" t="n"/>
      <c r="C218" s="4" t="n"/>
      <c r="D218" s="4" t="n"/>
      <c r="E218" s="4" t="n"/>
      <c r="F218" s="4" t="n"/>
    </row>
    <row r="219">
      <c r="A219" t="inlineStr">
        <is>
          <t>active_line_load = Ka_traffic*gamma_Q*F_hll_1m_coeff (kN)</t>
        </is>
      </c>
      <c r="B219" s="12">
        <f>Ka_traffic_STR_GEO_Comb2*RoadTraffic_sup_STR_GEO_Comb2*F_hll_1m_coeff</f>
        <v/>
      </c>
    </row>
    <row r="220">
      <c r="A220" t="inlineStr">
        <is>
          <t>active_udl = Ka_traffic*gamma_Q*20*H_ext (kN)</t>
        </is>
      </c>
      <c r="B220" s="12">
        <f>Ka_traffic_STR_GEO_Comb2*RoadTraffic_sup_STR_GEO_Comb2*20.0*H_ext</f>
        <v/>
      </c>
    </row>
    <row r="221">
      <c r="A221" t="inlineStr">
        <is>
          <t>braking_char (kN)</t>
        </is>
      </c>
      <c r="B221" s="12">
        <f>Q_lk/L_L</f>
        <v/>
      </c>
    </row>
    <row r="222">
      <c r="A222" t="inlineStr">
        <is>
          <t>braking = gamma_Q * braking_char (kN)</t>
        </is>
      </c>
      <c r="B222" s="12">
        <f>RoadTraffic_sup_STR_GEO_Comb2*B221</f>
        <v/>
      </c>
    </row>
    <row r="223">
      <c r="A223" t="inlineStr">
        <is>
          <t>total_active = active_surcharge+active_backfill+active_line_load+active_udl+braking (kN)</t>
        </is>
      </c>
      <c r="B223" s="12">
        <f>B208+B211+B219+B220+B222</f>
        <v/>
      </c>
    </row>
    <row r="224">
      <c r="A224" t="inlineStr">
        <is>
          <t>vertical_char (kN)</t>
        </is>
      </c>
      <c r="B224" s="12">
        <f>lane1_udl*B_ext+patch_load*disp_m*2</f>
        <v/>
      </c>
    </row>
    <row r="225">
      <c r="A225" t="inlineStr">
        <is>
          <t>vertical = gamma_Q * vertical_char (kN)</t>
        </is>
      </c>
      <c r="B225" s="12">
        <f>RoadTraffic_sup_STR_GEO_Comb2*B224</f>
        <v/>
      </c>
    </row>
    <row r="226">
      <c r="A226" t="inlineStr">
        <is>
          <t>V_d = common_vertical + vertical - buoyancy (kN)</t>
        </is>
      </c>
      <c r="B226" s="12">
        <f>B217+B225-B203</f>
        <v/>
      </c>
    </row>
    <row r="227">
      <c r="A227" t="inlineStr">
        <is>
          <t>delta_d = ATAN(TAN(RADIANS(phi_founding))/gamma_M) (deg)</t>
        </is>
      </c>
      <c r="B227" s="12">
        <f>DEGREES(ATAN(TAN(RADIANS(phi_founding))/MaterialM_STR_GEO_Comb2))</f>
        <v/>
      </c>
    </row>
    <row r="228">
      <c r="A228" t="inlineStr">
        <is>
          <t>max_Rd = V_d * TAN(RADIANS(delta_d)) (kN)</t>
        </is>
      </c>
      <c r="B228" s="12">
        <f>B226*TAN(RADIANS(B227))</f>
        <v/>
      </c>
    </row>
    <row r="229">
      <c r="A229" t="inlineStr">
        <is>
          <t>friction_required = total_active - total_passive (kN)</t>
        </is>
      </c>
      <c r="B229" s="12">
        <f>B223-B213</f>
        <v/>
      </c>
    </row>
    <row r="230">
      <c r="A230" t="inlineStr">
        <is>
          <t>SLIDING margin = max_Rd - friction_required (kN)</t>
        </is>
      </c>
      <c r="B230" s="12">
        <f>B228-B229</f>
        <v/>
      </c>
    </row>
    <row r="231">
      <c r="A231" t="inlineStr">
        <is>
          <t>Sliding OK? (margin &gt;= 0)</t>
        </is>
      </c>
      <c r="B231">
        <f>B230&gt;=0</f>
        <v/>
      </c>
    </row>
    <row r="232">
      <c r="A232" t="inlineStr">
        <is>
          <t>UR_sliding = MAX(0,friction_required)/max_Rd (%)</t>
        </is>
      </c>
      <c r="B232" s="11">
        <f>MAX(0,B229)/B228*100</f>
        <v/>
      </c>
    </row>
    <row r="233">
      <c r="A233" t="inlineStr">
        <is>
          <t>M_active = act_surch*(H_ext/2)+act_bkfl*(H_ext/3)+line_load*H_ext+udl*(H_ext/2)+braking*H_ext (kNm)</t>
        </is>
      </c>
      <c r="B233" s="12">
        <f>B208*(H_ext/2)+B211*(H_ext/3)+B219*H_ext+B220*(H_ext/2)+B222*H_ext</f>
        <v/>
      </c>
    </row>
    <row r="234">
      <c r="A234" t="inlineStr">
        <is>
          <t>M_passive = pass_surch*(H_ext/2) + pass_bkfl*(H_ext/3) (kNm)</t>
        </is>
      </c>
      <c r="B234" s="12">
        <f>B209*(H_ext/2)+B212*(H_ext/3)</f>
        <v/>
      </c>
    </row>
    <row r="235">
      <c r="A235" t="inlineStr">
        <is>
          <t>M_driving = MAX(0, M_active - M_passive) (kNm)</t>
        </is>
      </c>
      <c r="B235" s="12">
        <f>MAX(0,B233-B234)</f>
        <v/>
      </c>
    </row>
    <row r="236">
      <c r="A236" t="inlineStr">
        <is>
          <t>M_stabilizing = V_d * B_ext/2 (kNm)</t>
        </is>
      </c>
      <c r="B236" s="12">
        <f>B226*B_ext/2</f>
        <v/>
      </c>
    </row>
    <row r="237">
      <c r="A237" t="inlineStr">
        <is>
          <t>OVERTURNING margin = M_stabilizing - M_driving (kNm)</t>
        </is>
      </c>
      <c r="B237" s="12">
        <f>B236-B235</f>
        <v/>
      </c>
    </row>
    <row r="238">
      <c r="A238" t="inlineStr">
        <is>
          <t>Overturning OK? (ot_margin &gt;= 0)</t>
        </is>
      </c>
      <c r="B238">
        <f>B237&gt;=0</f>
        <v/>
      </c>
    </row>
    <row r="239">
      <c r="A239" t="inlineStr">
        <is>
          <t>UR_overturning = MAX(0,M_driving)/M_stabilizing (%)</t>
        </is>
      </c>
      <c r="B239" s="11">
        <f>MAX(0,B235)/B236*100</f>
        <v/>
      </c>
    </row>
    <row r="240">
      <c r="A240" s="3" t="inlineStr">
        <is>
          <t>LM3 Scenario — STR/GEO Comb2</t>
        </is>
      </c>
      <c r="B240" s="4" t="n"/>
      <c r="C240" s="4" t="n"/>
      <c r="D240" s="4" t="n"/>
      <c r="E240" s="4" t="n"/>
      <c r="F240" s="4" t="n"/>
    </row>
    <row r="241">
      <c r="A241" t="inlineStr">
        <is>
          <t>active_line_load = Ka_traffic*gamma_Q*F_hll_1m_coeff (kN)</t>
        </is>
      </c>
      <c r="B241" s="12">
        <f>Ka_traffic_STR_GEO_Comb2*RoadTraffic_sup_STR_GEO_Comb2*F_hll_1m_coeff</f>
        <v/>
      </c>
    </row>
    <row r="242">
      <c r="A242" t="inlineStr">
        <is>
          <t>active_udl = Ka_traffic*gamma_Q*30*H_ext (kN)</t>
        </is>
      </c>
      <c r="B242" s="12">
        <f>Ka_traffic_STR_GEO_Comb2*RoadTraffic_sup_STR_GEO_Comb2*30.0*H_ext</f>
        <v/>
      </c>
    </row>
    <row r="243">
      <c r="A243" t="inlineStr">
        <is>
          <t>braking_char (kN)</t>
        </is>
      </c>
      <c r="B243" s="12">
        <f>Q_brk_per_m</f>
        <v/>
      </c>
    </row>
    <row r="244">
      <c r="A244" t="inlineStr">
        <is>
          <t>braking = gamma_Q * braking_char (kN)</t>
        </is>
      </c>
      <c r="B244" s="12">
        <f>RoadTraffic_sup_STR_GEO_Comb2*B243</f>
        <v/>
      </c>
    </row>
    <row r="245">
      <c r="A245" t="inlineStr">
        <is>
          <t>total_active = active_surcharge+active_backfill+active_line_load+active_udl+braking (kN)</t>
        </is>
      </c>
      <c r="B245" s="12">
        <f>B208+B211+B241+B242+B244</f>
        <v/>
      </c>
    </row>
    <row r="246">
      <c r="A246" t="inlineStr">
        <is>
          <t>vertical_char (kN)</t>
        </is>
      </c>
      <c r="B246" s="12">
        <f>max_V_per_m</f>
        <v/>
      </c>
    </row>
    <row r="247">
      <c r="A247" t="inlineStr">
        <is>
          <t>vertical = gamma_Q * vertical_char (kN)</t>
        </is>
      </c>
      <c r="B247" s="12">
        <f>RoadTraffic_sup_STR_GEO_Comb2*B246</f>
        <v/>
      </c>
    </row>
    <row r="248">
      <c r="A248" t="inlineStr">
        <is>
          <t>V_d = common_vertical + vertical - buoyancy (kN)</t>
        </is>
      </c>
      <c r="B248" s="12">
        <f>B217+B247-B203</f>
        <v/>
      </c>
    </row>
    <row r="249">
      <c r="A249" t="inlineStr">
        <is>
          <t>delta_d = ATAN(TAN(RADIANS(phi_founding))/gamma_M) (deg)</t>
        </is>
      </c>
      <c r="B249" s="12">
        <f>DEGREES(ATAN(TAN(RADIANS(phi_founding))/MaterialM_STR_GEO_Comb2))</f>
        <v/>
      </c>
    </row>
    <row r="250">
      <c r="A250" t="inlineStr">
        <is>
          <t>max_Rd = V_d * TAN(RADIANS(delta_d)) (kN)</t>
        </is>
      </c>
      <c r="B250" s="12">
        <f>B248*TAN(RADIANS(B249))</f>
        <v/>
      </c>
    </row>
    <row r="251">
      <c r="A251" t="inlineStr">
        <is>
          <t>friction_required = total_active - total_passive (kN)</t>
        </is>
      </c>
      <c r="B251" s="12">
        <f>B245-B213</f>
        <v/>
      </c>
    </row>
    <row r="252">
      <c r="A252" t="inlineStr">
        <is>
          <t>SLIDING margin = max_Rd - friction_required (kN)</t>
        </is>
      </c>
      <c r="B252" s="12">
        <f>B250-B251</f>
        <v/>
      </c>
    </row>
    <row r="253">
      <c r="A253" t="inlineStr">
        <is>
          <t>Sliding OK? (margin &gt;= 0)</t>
        </is>
      </c>
      <c r="B253">
        <f>B252&gt;=0</f>
        <v/>
      </c>
    </row>
    <row r="254">
      <c r="A254" t="inlineStr">
        <is>
          <t>UR_sliding = MAX(0,friction_required)/max_Rd (%)</t>
        </is>
      </c>
      <c r="B254" s="11">
        <f>MAX(0,B251)/B250*100</f>
        <v/>
      </c>
    </row>
    <row r="255">
      <c r="A255" t="inlineStr">
        <is>
          <t>M_active = act_surch*(H_ext/2)+act_bkfl*(H_ext/3)+line_load*H_ext+udl*(H_ext/2)+braking*H_ext (kNm)</t>
        </is>
      </c>
      <c r="B255" s="12">
        <f>B208*(H_ext/2)+B211*(H_ext/3)+B241*H_ext+B242*(H_ext/2)+B244*H_ext</f>
        <v/>
      </c>
    </row>
    <row r="256">
      <c r="A256" t="inlineStr">
        <is>
          <t>M_passive = pass_surch*(H_ext/2) + pass_bkfl*(H_ext/3) (kNm)</t>
        </is>
      </c>
      <c r="B256" s="12">
        <f>B209*(H_ext/2)+B212*(H_ext/3)</f>
        <v/>
      </c>
    </row>
    <row r="257">
      <c r="A257" t="inlineStr">
        <is>
          <t>M_driving = MAX(0, M_active - M_passive) (kNm)</t>
        </is>
      </c>
      <c r="B257" s="12">
        <f>MAX(0,B255-B256)</f>
        <v/>
      </c>
    </row>
    <row r="258">
      <c r="A258" t="inlineStr">
        <is>
          <t>M_stabilizing = V_d * B_ext/2 (kNm)</t>
        </is>
      </c>
      <c r="B258" s="12">
        <f>B248*B_ext/2</f>
        <v/>
      </c>
    </row>
    <row r="259">
      <c r="A259" t="inlineStr">
        <is>
          <t>OVERTURNING margin = M_stabilizing - M_driving (kNm)</t>
        </is>
      </c>
      <c r="B259" s="12">
        <f>B258-B257</f>
        <v/>
      </c>
    </row>
    <row r="260">
      <c r="A260" t="inlineStr">
        <is>
          <t>Overturning OK? (ot_margin &gt;= 0)</t>
        </is>
      </c>
      <c r="B260">
        <f>B259&gt;=0</f>
        <v/>
      </c>
    </row>
    <row r="261">
      <c r="A261" t="inlineStr">
        <is>
          <t>UR_overturning = MAX(0,M_driving)/M_stabilizing (%)</t>
        </is>
      </c>
      <c r="B261" s="11">
        <f>MAX(0,B257)/B258*100</f>
        <v/>
      </c>
    </row>
    <row r="262">
      <c r="A262" t="inlineStr">
        <is>
          <t>Governing (sliding) — LM1 if its margin is smaller</t>
        </is>
      </c>
      <c r="B262">
        <f>IF(B230&lt;B252,"LM1","LM3")</f>
        <v/>
      </c>
    </row>
    <row r="263">
      <c r="A263" t="inlineStr">
        <is>
          <t>Governing (overturning) — LM1 if its margin is smaller</t>
        </is>
      </c>
      <c r="B263">
        <f>IF(B237&lt;B259,"LM1","LM3")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6A6A6"/>
    <outlinePr summaryBelow="1" summaryRight="1"/>
    <pageSetUpPr/>
  </sheetPr>
  <dimension ref="A1:F13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20" customHeight="1">
      <c r="A1" s="1" t="inlineStr">
        <is>
          <t>Assumptions</t>
        </is>
      </c>
      <c r="B1" s="2" t="n"/>
      <c r="C1" s="2" t="n"/>
      <c r="D1" s="2" t="n"/>
      <c r="E1" s="2" t="n"/>
      <c r="F1" s="2" t="n"/>
    </row>
    <row r="3" ht="30" customHeight="1">
      <c r="A3" s="17" t="inlineStr">
        <is>
          <t>- Design is carried out on a 1.0 m strip basis.</t>
        </is>
      </c>
    </row>
    <row r="4" ht="30" customHeight="1">
      <c r="A4" s="17" t="inlineStr">
        <is>
          <t>- The structure has no longitudinal joints, so full load dispersal through the fill can be considered (PD6694-1 Cl. 10.2.7) — dispersal is not curtailed by a segment joint.</t>
        </is>
      </c>
    </row>
    <row r="5" ht="30" customHeight="1">
      <c r="A5" s="17" t="inlineStr">
        <is>
          <t>- The Transverse Dispersal formula assumes the dispersed wheel width is at least the 1.0 m design strip width. This requires H_c &gt;= 0.52 m — not checked in this workbook.</t>
        </is>
      </c>
    </row>
    <row r="6" ht="30" customHeight="1">
      <c r="A6" s="17" t="inlineStr">
        <is>
          <t>- Per PD6694-1 Cl. 10.2.1, dispersal through fill is only valid for H_c &gt;= 0.6 m; below that the structure should be treated as a normal bridge deck with undispersed traffic loading — not enforced or flagged here.</t>
        </is>
      </c>
    </row>
    <row r="7" ht="30" customHeight="1">
      <c r="A7" s="17" t="inlineStr">
        <is>
          <t>- The Transverse Dispersal formula assumes only two adjacent wheels' dispersion zones overlap in the critical 1 m strip (lanes 1 &amp; 2 only) — not extended to 3+ overlapping wheels.</t>
        </is>
      </c>
    </row>
    <row r="8" ht="30" customHeight="1">
      <c r="A8" s="17" t="inlineStr">
        <is>
          <t>- Road construction (cover Layer 1) is treated separately from fill (remaining layers) for the +55%/-40% construction-thickness deviation — an assumption carried over from the source Streamlit app, not explicitly stated in PD6694-1.</t>
        </is>
      </c>
    </row>
    <row r="9" ht="30" customHeight="1">
      <c r="A9" s="17" t="inlineStr">
        <is>
          <t>- LM3's worst vehicle position is found by evaluating the exact breakpoints of the (piecewise-linear) landed-load-vs-offset function, rather than a fine numerical scan — mathematically equivalent to (and more precise than) the Streamlit app's 0.01 m grid search; cross-checked against it for SV196 (163.8 kN/m, matching to 3 s.f.).</t>
        </is>
      </c>
    </row>
    <row r="10" ht="30" customHeight="1">
      <c r="A10" s="17" t="inlineStr">
        <is>
          <t>- LM3 braking force = delta x (sum of characteristic axle loads), delta = 0.50/0.40/0.25 for SV80/SV100/SV196 (NA.2.18.1) — algebraically identical to summing per-axle-group braking forces, since delta is constant per vehicle.</t>
        </is>
      </c>
    </row>
    <row r="11" ht="30" customHeight="1">
      <c r="A11" s="17" t="inlineStr">
        <is>
          <t>- Table B.6 buoyancy = gamma_w x B_ext x MIN(h_wt, H_ext) (Archimedes, submerged external cross-section) — a discrete uplift force, not a change to backfill unit weight or earth pressure coefficients below the water table.</t>
        </is>
      </c>
    </row>
    <row r="12" ht="30" customHeight="1">
      <c r="A12" s="17" t="inlineStr">
        <is>
          <t>- Bearing pressure (PD6694-1 Cl. 10.3.2) is not covered by this workbook — sliding and overturning only.</t>
        </is>
      </c>
    </row>
    <row r="13" ht="30" customHeight="1">
      <c r="A13" s="17" t="inlineStr">
        <is>
          <t>- This workbook is a direct transcription of the culvert-stability Streamlit app's calculation logic into live Excel formulas — see that app's own Assumptions tab for further detail on individual modelling choices.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2026-08-20T09:15:18Z</dcterms:created>
  <dcterms:modified xmlns:dcterms="http://purl.org/dc/terms/" xmlns:xsi="http://www.w3.org/2001/XMLSchema-instance" xsi:type="dcterms:W3CDTF">2026-08-20T09:15:18Z</dcterms:modified>
</cp:coreProperties>
</file>